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2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29426"/>
  <ns0:workbookPr/>
  <ns1:AlternateContent>
    <ns1:Choice Requires="x15">
      <ns2:absPath url="https://d.docs.live.net/94b0492849e8a664/Документы/RA/"/>
    </ns1:Choice>
  </ns1:AlternateContent>
  <ns3:revisionPtr revIDLastSave="2" documentId="8_{0F44B8A1-7405-4867-8BCF-F2666BD3837C}" ns4:coauthVersionLast="47" ns4:coauthVersionMax="47" ns5:uidLastSave="{CA890AC3-672D-44C8-A086-E6EB3146D6A7}"/>
  <ns0:bookViews>
    <ns0:workbookView xWindow="-110" yWindow="-110" windowWidth="38620" windowHeight="21100" activeTab="2" ns6:uid="{00000000-000D-0000-FFFF-FFFF00000000}"/>
  </ns0:bookViews>
  <ns0:sheets>
    <ns0:sheet name="Org_countermeasures" sheetId="2" ns7:id="rId2"/>
  </ns0:sheets>
  <ns0:calcPr calcId="19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</ns9:calcFeatures>
    </ns0:ext>
  </ns0:extLst>
</ns0:workbook>
</file>

<file path=xl/calcChain.xml><?xml version="1.0" encoding="utf-8"?>
<calcChain xmlns="http://schemas.openxmlformats.org/spreadsheetml/2006/main">
  <c r="F70" i="4" l="1"/>
  <c r="G70" i="4"/>
  <c r="G95" i="4"/>
  <c r="F95" i="4"/>
  <c r="C40" i="4"/>
  <c r="F95" i="1"/>
  <c r="D170" i="4" l="1"/>
  <c r="G165" i="4"/>
  <c r="G156" i="4"/>
  <c r="G147" i="4"/>
  <c r="G138" i="4"/>
  <c r="G133" i="4"/>
  <c r="G124" i="4"/>
  <c r="G115" i="4"/>
  <c r="G106" i="4"/>
  <c r="F165" i="4"/>
  <c r="F156" i="4"/>
  <c r="F147" i="4"/>
  <c r="F138" i="4"/>
  <c r="F133" i="4"/>
  <c r="F124" i="4"/>
  <c r="F115" i="4"/>
  <c r="F106" i="4"/>
  <c r="G20" i="4"/>
  <c r="G29" i="4"/>
  <c r="G38" i="4"/>
  <c r="G47" i="4"/>
  <c r="G52" i="4"/>
  <c r="G61" i="4"/>
  <c r="G79" i="4"/>
  <c r="G86" i="4"/>
  <c r="G11" i="4"/>
  <c r="F86" i="4"/>
  <c r="F79" i="4"/>
  <c r="F61" i="4"/>
  <c r="F52" i="4"/>
  <c r="F47" i="4"/>
  <c r="F38" i="4"/>
  <c r="F29" i="4"/>
  <c r="F20" i="4"/>
  <c r="F11" i="4"/>
  <c r="F70" i="2"/>
  <c r="F61" i="2"/>
  <c r="F52" i="2"/>
  <c r="F43" i="2"/>
  <c r="F38" i="2"/>
  <c r="F20" i="2"/>
  <c r="F29" i="2"/>
  <c r="F11" i="2"/>
  <c r="F38" i="1"/>
  <c r="F47" i="1"/>
  <c r="F61" i="1"/>
  <c r="F70" i="1"/>
  <c r="F79" i="1"/>
  <c r="F86" i="1"/>
  <c r="F52" i="1"/>
  <c r="F29" i="1"/>
  <c r="F20" i="1"/>
  <c r="F11" i="1"/>
</calcChain>
</file>

<file path=xl/sharedStrings.xml><?xml version="1.0" encoding="utf-8"?>
<sst xmlns="http://schemas.openxmlformats.org/spreadsheetml/2006/main" count="566" uniqueCount="182">
  <si>
    <t>Criteria</t>
  </si>
  <si>
    <t>Technical measures</t>
  </si>
  <si>
    <t>Max. Score</t>
  </si>
  <si>
    <t>Segmentation (BPCS, SIS)</t>
  </si>
  <si>
    <t>1.1</t>
  </si>
  <si>
    <t>All BPCS are separated according to IEC 62443 recommendations and considering site particular features</t>
  </si>
  <si>
    <t>1.2</t>
  </si>
  <si>
    <t>All SIS systems are separated from each other considering site particular features</t>
  </si>
  <si>
    <t>1.3</t>
  </si>
  <si>
    <t>SIS systems are separated from BPCS(DCS)</t>
  </si>
  <si>
    <t>1.4</t>
  </si>
  <si>
    <t>All zones and conduits are defined, information flow between zones is described, protection measures are in place</t>
  </si>
  <si>
    <t>1.5</t>
  </si>
  <si>
    <t>1.6</t>
  </si>
  <si>
    <t>1.7</t>
  </si>
  <si>
    <t>DMZ is in place and organized in a proper way</t>
  </si>
  <si>
    <t>2.1</t>
  </si>
  <si>
    <t>DMZ is build using one Firewall (+1 point) or two Firewalls (+2 point), additional 0,5 points if FW vendors are different</t>
  </si>
  <si>
    <t>2.2</t>
  </si>
  <si>
    <t>All communications are running through transitional servers in DMZ (+1,5 points), -0,5 points per each direct communication between ICS and enterprise network</t>
  </si>
  <si>
    <t>2.3</t>
  </si>
  <si>
    <t>2.4</t>
  </si>
  <si>
    <t>2.5</t>
  </si>
  <si>
    <t>2.6</t>
  </si>
  <si>
    <t>DMZ is connected to the Enterprise network, not to the Internet (+1pt)</t>
  </si>
  <si>
    <t>2.7</t>
  </si>
  <si>
    <t>SIS protection for isolated system(if applicable)</t>
  </si>
  <si>
    <t>3.1</t>
  </si>
  <si>
    <t xml:space="preserve">SIS is an isolated system (air gap) </t>
  </si>
  <si>
    <t>3.2</t>
  </si>
  <si>
    <t>SIS controllers are hardened</t>
  </si>
  <si>
    <t>3.3</t>
  </si>
  <si>
    <t>SIS has CSA/SSA certificate (Lvl1 -1pt, lvl2 -2pt, lvl3 - 3pt)</t>
  </si>
  <si>
    <t>3.4</t>
  </si>
  <si>
    <t>3.5</t>
  </si>
  <si>
    <t>3.6</t>
  </si>
  <si>
    <t>3.7</t>
  </si>
  <si>
    <t>SIS protection and integration (if applicable)</t>
  </si>
  <si>
    <t>4.1</t>
  </si>
  <si>
    <t>SIS or critical packaged systems are integrated with DCS (BPCS) using firewalls or serial interfaces</t>
  </si>
  <si>
    <t>4.2</t>
  </si>
  <si>
    <t>Configuration of a firewall or serial interfaces don't allow to make changes in the SIS system, which could impact safety algorithms</t>
  </si>
  <si>
    <t>4.3</t>
  </si>
  <si>
    <t>4.4</t>
  </si>
  <si>
    <t>SIS Operator and engineer stations are protected and hardened using vendor recommendation/best practices and/or corporate standards</t>
  </si>
  <si>
    <t>4.5</t>
  </si>
  <si>
    <t>4.6</t>
  </si>
  <si>
    <t>4.7</t>
  </si>
  <si>
    <t>5.1</t>
  </si>
  <si>
    <t>There are no known vulnerabilities in the ICS, including PLCs/DCS, networks equipment, OSs, 3rd party software, DMZ</t>
  </si>
  <si>
    <t>5.2</t>
  </si>
  <si>
    <t>If CVSS score is critical use formula: 100*Expl.Prob, where Expl.Prob=(DMZ.Score,%+Segm.Score,%+Hd.Score,%)*Ex.V/3 Ex.V – expert value</t>
  </si>
  <si>
    <t>up to -100</t>
  </si>
  <si>
    <t>5.3</t>
  </si>
  <si>
    <t>If CVSS score is high use formula: 60*Expl.Prob, where Expl.Prob=(DMZ.Score,%+Segm.Score,%+Hd.Score,%)*Ex.V/3 Ex.V – expert value</t>
  </si>
  <si>
    <t>5.4</t>
  </si>
  <si>
    <t>If CVSS score is medium use formula: 20*Expl.Prob, where Expl.Prob=(DMZ.Score,%+Segm.Score,%+Hd.Score,%)*Ex.V/3 Ex.V – expert value</t>
  </si>
  <si>
    <t>5.5</t>
  </si>
  <si>
    <t>If CVSS score is low use formula: 0&lt;#Vulners&lt;20 - -10pt, 20&lt;=#Vulners&lt;50 - -20pt, #Vulners&gt;=50 - -30pt. Ex.V could be used in all cases</t>
  </si>
  <si>
    <t>up to -30</t>
  </si>
  <si>
    <t>5.6</t>
  </si>
  <si>
    <t>5.7</t>
  </si>
  <si>
    <t>Threat model</t>
  </si>
  <si>
    <t>6.1</t>
  </si>
  <si>
    <t>Threat model is designed</t>
  </si>
  <si>
    <t>6.2</t>
  </si>
  <si>
    <t>6.3</t>
  </si>
  <si>
    <t>Physical access control</t>
  </si>
  <si>
    <t>7.1</t>
  </si>
  <si>
    <t>No access control</t>
  </si>
  <si>
    <t>7.2</t>
  </si>
  <si>
    <t>Site perimeter access control (weak/intermediate/strong)</t>
  </si>
  <si>
    <t>7.3</t>
  </si>
  <si>
    <t>7.4</t>
  </si>
  <si>
    <t>CCTV systems are in place and control all rooms with ICS equipment (no, partially, yes)</t>
  </si>
  <si>
    <t>7.5</t>
  </si>
  <si>
    <t>7.6</t>
  </si>
  <si>
    <t>7.7</t>
  </si>
  <si>
    <t>Remote access</t>
  </si>
  <si>
    <t>8.1</t>
  </si>
  <si>
    <t>No remote access to ICS</t>
  </si>
  <si>
    <t>8.2</t>
  </si>
  <si>
    <t>Remote access is implemented and supported by 3rd party and the customer don't know how</t>
  </si>
  <si>
    <t>8.3</t>
  </si>
  <si>
    <t>8.4</t>
  </si>
  <si>
    <t>Remote access is based on widely known and/or tested and validated solutions/products</t>
  </si>
  <si>
    <t>8.5</t>
  </si>
  <si>
    <t>8.6</t>
  </si>
  <si>
    <t>8.7</t>
  </si>
  <si>
    <t>Hardening</t>
  </si>
  <si>
    <t>9.1</t>
  </si>
  <si>
    <t>Industrial controllers (or DCS) are hardened considering vendor's recommendations and site specific features (no, partially, yes)</t>
  </si>
  <si>
    <t>9.2</t>
  </si>
  <si>
    <t>Network equipment is hardened considering vendor's recommendations and site specific features (no, partially, yes)</t>
  </si>
  <si>
    <t>9.3</t>
  </si>
  <si>
    <t>Servers and operating stations are hardened considering vendor's recommendations and site specific features (no, partially, yes)</t>
  </si>
  <si>
    <t>9.4</t>
  </si>
  <si>
    <t>All other systems interacting with ICS or included in ICS are hardened (no, partially, yes)</t>
  </si>
  <si>
    <t>9.5</t>
  </si>
  <si>
    <t>Automated tools are used to check for compliance  (no, partially, yes)</t>
  </si>
  <si>
    <t>9.6</t>
  </si>
  <si>
    <t>9.7</t>
  </si>
  <si>
    <t>React and Control</t>
  </si>
  <si>
    <t>10.1</t>
  </si>
  <si>
    <t>IDSs in BPCS are in place</t>
  </si>
  <si>
    <t>10.2</t>
  </si>
  <si>
    <t>10.3</t>
  </si>
  <si>
    <t>Logs are collected and correlated (SIEM)</t>
  </si>
  <si>
    <t>10.4</t>
  </si>
  <si>
    <t>10.5</t>
  </si>
  <si>
    <t>Backups are stored in a safe manner</t>
  </si>
  <si>
    <t>Group  maximum score</t>
  </si>
  <si>
    <t>Inventory is completed</t>
  </si>
  <si>
    <t>The ICS software platforms and applications within the site are inventoried (no, partially, yes)</t>
  </si>
  <si>
    <t>The ICS hardware devices and systems within the site are inventoried  (no, partially, yes)</t>
  </si>
  <si>
    <t>Change management policies are designed, communicated and implemented within the site</t>
  </si>
  <si>
    <t xml:space="preserve">Change management policies and procedures are transparent and clear (no, partially, yes) </t>
  </si>
  <si>
    <t xml:space="preserve">Personnel are aware of policies and procedures, they know and understand them (no, partially, yes) </t>
  </si>
  <si>
    <t xml:space="preserve">No changes can be made without manager approval/notification (no, partially, yes) </t>
  </si>
  <si>
    <t xml:space="preserve">All changes are documented and can be tracked (no, partially, yes) </t>
  </si>
  <si>
    <t>All communications within the ICS and between the ICS and 3rd parties are described</t>
  </si>
  <si>
    <t xml:space="preserve">All communications within the ICS (ports, protocols, type of data) are described (no, partially, yes) </t>
  </si>
  <si>
    <t xml:space="preserve">All communications between the ICS and 3rd parties (ports, protocols, type of data) are described (no, partially, yes) </t>
  </si>
  <si>
    <t>This information is used by IT/OT personnel to configure protection measures</t>
  </si>
  <si>
    <t xml:space="preserve">All described in the policies/procedures roles are assigned (no, partially, yes) </t>
  </si>
  <si>
    <t xml:space="preserve">Personnel have enough knowledge (no, partially, yes) </t>
  </si>
  <si>
    <t xml:space="preserve">Enough resources are dedicated to support policies and procedures (no, partially, yes) </t>
  </si>
  <si>
    <t>The ICS complies with local regulation</t>
  </si>
  <si>
    <t xml:space="preserve">The ICS complies with local regulation (no, yes) </t>
  </si>
  <si>
    <t>Supply chain risk management practices are in place</t>
  </si>
  <si>
    <t xml:space="preserve">Supply chain risk management policies and procedures are transparent and clear (no, partially, yes) </t>
  </si>
  <si>
    <t>6.4</t>
  </si>
  <si>
    <t>Existing policies and procedures cover all aspects of ICS lifecycle (no, partially, yes)</t>
  </si>
  <si>
    <t>6.5</t>
  </si>
  <si>
    <t>6.6</t>
  </si>
  <si>
    <t>6.7</t>
  </si>
  <si>
    <t>Employees are trained and educated</t>
  </si>
  <si>
    <t>Score</t>
  </si>
  <si>
    <t>Number of questions (technical group)</t>
  </si>
  <si>
    <t>11.1</t>
  </si>
  <si>
    <t>11.2</t>
  </si>
  <si>
    <t>11.3</t>
  </si>
  <si>
    <t>11.4</t>
  </si>
  <si>
    <t>11.5</t>
  </si>
  <si>
    <t>11.6</t>
  </si>
  <si>
    <t>11.7</t>
  </si>
  <si>
    <t>Existence of known vulnerabilities (DCS)</t>
  </si>
  <si>
    <t>All zones can operate independently from other zones (e.g. Communication between zones is interrupted due to attack)</t>
  </si>
  <si>
    <t>No encrypted protocols are used between ICS and DMZ (+0,5pt), and all sensitive communications between DMZ and enterprise networks are protected (authentication, encryption, etc.) (+0,5pt)</t>
  </si>
  <si>
    <t>NIDS is used to monitor traffic in DMZ (+1pt). NIDS is connected to corporate Incident response platform (+1pt)</t>
  </si>
  <si>
    <t>All servers in DMZ are hardened, protected and managed in accordance with best practices and/or corporate policies/procedures (+2pt). -0,25pt per each not hardened/protected server. -0,5pt if servers/services are not managed proactively.</t>
  </si>
  <si>
    <t>If SIS is an isolated system proper measures should be taken to prevent SIS system from unauthorized connection to other networks and changes including: antivirus protection, device control, hardening, BIOS/UEFI protection, regular audits, change management, policies and procedures</t>
  </si>
  <si>
    <t>Access to ICS equipment is controlled (no, partially, yes) in addition to site access control</t>
  </si>
  <si>
    <t>Advanced CCTV features are implemented (face recognition, tracking, etc.)</t>
  </si>
  <si>
    <t>Security systems are integrated with IRP (no, partially, yes)</t>
  </si>
  <si>
    <t>Remote access is compliant with local regulation</t>
  </si>
  <si>
    <t>MFA together with compliance check is used</t>
  </si>
  <si>
    <t>Accounts (especially privileged) for remote users are created directly for session and then deleted</t>
  </si>
  <si>
    <t>Logging is on on switches, PLCs, Workstations and servers, FWs, etc.</t>
  </si>
  <si>
    <t>Backups are created regularly</t>
  </si>
  <si>
    <t>Existence of known vulnerabilities (SIS)</t>
  </si>
  <si>
    <t>Inventory data is regularly updated (no, manually after changes, manually after changes + at least every 6 months, automatically)</t>
  </si>
  <si>
    <t>Cybersecurity policies and procedures are designed, communicated and implemented within the site and for this particular ICS, roles are described, resources are assigned</t>
  </si>
  <si>
    <t>The ICS complies with best practices (no, partially, yes)</t>
  </si>
  <si>
    <t>Vendor selection, delivery, commissioning, service, modernization/migration/removal</t>
  </si>
  <si>
    <t>Employees have enough knowledge to do their job (no, partially, yes)</t>
  </si>
  <si>
    <t>Employees are aware of cyber threats and understand that it is real (no, partially, yes)</t>
  </si>
  <si>
    <t>Employees are aware of local regulation (no, partially, yes)</t>
  </si>
  <si>
    <t>Employees are aware of best partially (no, partially, yes)</t>
  </si>
  <si>
    <t>Employees are trained on the regular basis (each quarter - 3pt, every half a year - 2pt, 1 year - 1 pt.)</t>
  </si>
  <si>
    <t>Logging is on  switches, PLCs, Workstations and servers, FWs, etc.</t>
  </si>
  <si>
    <t>Organisational measures</t>
  </si>
  <si>
    <t>Number of questions (organisational measures)</t>
  </si>
  <si>
    <t>Technical countermeasures</t>
  </si>
  <si>
    <t>Organisational countermeasures</t>
  </si>
  <si>
    <t>According to CVSSv3 scoring system</t>
  </si>
  <si>
    <t>If CVSS score is critical use formula: 100*Expl.Prob, where Expl.Prob=(DMZ.Score,%+Segm.Score,%+Hd.Score,%)*Ex.V/3 Ex.V – expert value
or
At least one vulnurability exists with threat score (according to the methodology) equal or higher then 0,4 of maximum threat score - 0pt
otherwise 100-threat scores</t>
  </si>
  <si>
    <t>If CVSS score is high use formula: 60*Expl.Prob, where Expl.Prob=(DMZ.Score,%+Segm.Score,%+Hd.Score,%)*Ex.V/3 Ex.V – expert value
or
At least one vulnurability exists with threat score (according to the methodology) equal or higher then 0,4 of maximum threat score - 0pt
otherwise 100-threat scores</t>
  </si>
  <si>
    <t>If CVSS score is medium use formula: 20*Expl.Prob, where Expl.Prob=(DMZ.Score,%+Segm.Score,%+Hd.Score,%)*Ex.V/3 Ex.V – expert value
or
At least one vulnurability exists with threat score (according to the methodology) equal or higher then 0,4 of maximum threat score - 0pt
otherwise 100-threat scores</t>
  </si>
  <si>
    <t>Protection and Hardening</t>
  </si>
  <si>
    <t>Servers and operator stations are hardened considering vendor's recommendations and site specific features (no, partially, yes)</t>
  </si>
  <si>
    <t>penetration testing is performed for critical elements on the yearly basis (0-no, 1-pertialy, 2- every year or more eften)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</si>
</sst>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7" Type="http://schemas.openxmlformats.org/officeDocument/2006/relationships/calcChain" Target="calcChain.xml" /><ns0:Relationship Id="rId2" Type="http://schemas.openxmlformats.org/officeDocument/2006/relationships/worksheet" Target="worksheets/sheet2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187A-3921-49E9-AF9E-DE6F08D51544}">
  <dimension ref="B2:G70"/>
  <sheetViews>
    <sheetView zoomScale="85" zoomScaleNormal="85" workbookViewId="0">
      <selection activeCell="F64" sqref="F64"/>
    </sheetView>
  </sheetViews>
  <sheetFormatPr defaultRowHeight="14.5" x14ac:dyDescent="0.35"/>
  <cols>
    <col min="1" max="1" width="3.453125" customWidth="1"/>
    <col min="2" max="2" width="6.453125" style="6" customWidth="1"/>
    <col min="3" max="3" width="90.90625" customWidth="1"/>
    <col min="5" max="5" width="89.6328125" customWidth="1"/>
    <col min="6" max="6" width="11.6328125" style="6" customWidth="1"/>
    <col min="7" max="7" width="56" customWidth="1"/>
  </cols>
  <sheetData>
    <row r="2" spans="2:6" ht="18.5" x14ac:dyDescent="0.45">
      <c r="B2" s="27" t="s">
        <v>0</v>
      </c>
      <c r="C2" s="28"/>
      <c r="D2" s="28"/>
      <c r="E2" s="28"/>
      <c r="F2" s="28"/>
    </row>
    <row r="3" spans="2:6" ht="15.5" x14ac:dyDescent="0.35">
      <c r="B3" s="24" t="s">
        <v>174</v>
      </c>
      <c r="C3" s="25"/>
      <c r="D3" s="25"/>
      <c r="E3" s="29"/>
      <c r="F3" s="1" t="s">
        <v>2</v>
      </c>
    </row>
    <row r="4" spans="2:6" x14ac:dyDescent="0.35">
      <c r="B4" s="14">
        <v>1</v>
      </c>
      <c r="C4" s="17" t="s">
        <v>112</v>
      </c>
      <c r="D4" s="2" t="s">
        <v>4</v>
      </c>
      <c r="E4" s="3" t="s">
        <v>113</v>
      </c>
      <c r="F4" s="4">
        <v>2</v>
      </c>
    </row>
    <row r="5" spans="2:6" x14ac:dyDescent="0.35">
      <c r="B5" s="15"/>
      <c r="C5" s="17"/>
      <c r="D5" s="2" t="s">
        <v>6</v>
      </c>
      <c r="E5" s="3" t="s">
        <v>114</v>
      </c>
      <c r="F5" s="4">
        <v>2</v>
      </c>
    </row>
    <row r="6" spans="2:6" ht="29" x14ac:dyDescent="0.35">
      <c r="B6" s="15"/>
      <c r="C6" s="17"/>
      <c r="D6" s="2" t="s">
        <v>8</v>
      </c>
      <c r="E6" s="3" t="s">
        <v>161</v>
      </c>
      <c r="F6" s="4">
        <v>3</v>
      </c>
    </row>
    <row r="7" spans="2:6" x14ac:dyDescent="0.35">
      <c r="B7" s="15"/>
      <c r="C7" s="17"/>
      <c r="D7" s="2" t="s">
        <v>10</v>
      </c>
      <c r="E7" s="3"/>
      <c r="F7" s="4"/>
    </row>
    <row r="8" spans="2:6" x14ac:dyDescent="0.35">
      <c r="B8" s="15"/>
      <c r="C8" s="17"/>
      <c r="D8" s="2" t="s">
        <v>12</v>
      </c>
      <c r="E8" s="3"/>
      <c r="F8" s="4"/>
    </row>
    <row r="9" spans="2:6" x14ac:dyDescent="0.35">
      <c r="B9" s="15"/>
      <c r="C9" s="17"/>
      <c r="D9" s="2" t="s">
        <v>13</v>
      </c>
      <c r="E9" s="3"/>
      <c r="F9" s="4"/>
    </row>
    <row r="10" spans="2:6" x14ac:dyDescent="0.35">
      <c r="B10" s="15"/>
      <c r="C10" s="17"/>
      <c r="D10" s="2" t="s">
        <v>14</v>
      </c>
      <c r="E10" s="3"/>
      <c r="F10" s="4"/>
    </row>
    <row r="11" spans="2:6" x14ac:dyDescent="0.35">
      <c r="B11" s="16"/>
      <c r="C11" s="11" t="s">
        <v>111</v>
      </c>
      <c r="D11" s="12"/>
      <c r="E11" s="13"/>
      <c r="F11" s="4">
        <f>SUM(F4:F10)</f>
        <v>7</v>
      </c>
    </row>
    <row r="12" spans="2:6" x14ac:dyDescent="0.35">
      <c r="B12" s="1"/>
      <c r="C12" s="18"/>
      <c r="D12" s="18"/>
      <c r="E12" s="18"/>
      <c r="F12" s="1" t="s">
        <v>2</v>
      </c>
    </row>
    <row r="13" spans="2:6" x14ac:dyDescent="0.35">
      <c r="B13" s="14">
        <v>2</v>
      </c>
      <c r="C13" s="17" t="s">
        <v>115</v>
      </c>
      <c r="D13" s="2" t="s">
        <v>16</v>
      </c>
      <c r="E13" s="3" t="s">
        <v>116</v>
      </c>
      <c r="F13" s="4">
        <v>2</v>
      </c>
    </row>
    <row r="14" spans="2:6" x14ac:dyDescent="0.35">
      <c r="B14" s="15">
        <v>2</v>
      </c>
      <c r="C14" s="17"/>
      <c r="D14" s="2" t="s">
        <v>18</v>
      </c>
      <c r="E14" s="3" t="s">
        <v>117</v>
      </c>
      <c r="F14" s="4">
        <v>2</v>
      </c>
    </row>
    <row r="15" spans="2:6" x14ac:dyDescent="0.35">
      <c r="B15" s="15">
        <v>3</v>
      </c>
      <c r="C15" s="17"/>
      <c r="D15" s="2" t="s">
        <v>20</v>
      </c>
      <c r="E15" s="3" t="s">
        <v>118</v>
      </c>
      <c r="F15" s="4">
        <v>2</v>
      </c>
    </row>
    <row r="16" spans="2:6" x14ac:dyDescent="0.35">
      <c r="B16" s="15">
        <v>4</v>
      </c>
      <c r="C16" s="17"/>
      <c r="D16" s="2" t="s">
        <v>21</v>
      </c>
      <c r="E16" s="3" t="s">
        <v>119</v>
      </c>
      <c r="F16" s="4">
        <v>2</v>
      </c>
    </row>
    <row r="17" spans="2:6" x14ac:dyDescent="0.35">
      <c r="B17" s="15"/>
      <c r="C17" s="17"/>
      <c r="D17" s="2" t="s">
        <v>22</v>
      </c>
      <c r="E17" s="3"/>
      <c r="F17" s="4"/>
    </row>
    <row r="18" spans="2:6" x14ac:dyDescent="0.35">
      <c r="B18" s="15"/>
      <c r="C18" s="17"/>
      <c r="D18" s="2" t="s">
        <v>23</v>
      </c>
      <c r="E18" s="3"/>
      <c r="F18" s="4"/>
    </row>
    <row r="19" spans="2:6" x14ac:dyDescent="0.35">
      <c r="B19" s="15"/>
      <c r="C19" s="17"/>
      <c r="D19" s="2" t="s">
        <v>25</v>
      </c>
      <c r="E19" s="3"/>
      <c r="F19" s="4"/>
    </row>
    <row r="20" spans="2:6" x14ac:dyDescent="0.35">
      <c r="B20" s="16"/>
      <c r="C20" s="11" t="s">
        <v>111</v>
      </c>
      <c r="D20" s="12"/>
      <c r="E20" s="13"/>
      <c r="F20" s="4">
        <f>SUM(F13:F19)</f>
        <v>8</v>
      </c>
    </row>
    <row r="21" spans="2:6" x14ac:dyDescent="0.35">
      <c r="B21" s="1"/>
      <c r="C21" s="18"/>
      <c r="D21" s="18"/>
      <c r="E21" s="18"/>
      <c r="F21" s="1" t="s">
        <v>2</v>
      </c>
    </row>
    <row r="22" spans="2:6" x14ac:dyDescent="0.35">
      <c r="B22" s="14">
        <v>3</v>
      </c>
      <c r="C22" s="17" t="s">
        <v>120</v>
      </c>
      <c r="D22" s="2" t="s">
        <v>27</v>
      </c>
      <c r="E22" s="3" t="s">
        <v>121</v>
      </c>
      <c r="F22" s="4">
        <v>2</v>
      </c>
    </row>
    <row r="23" spans="2:6" ht="29" x14ac:dyDescent="0.35">
      <c r="B23" s="15">
        <v>2</v>
      </c>
      <c r="C23" s="17"/>
      <c r="D23" s="2" t="s">
        <v>29</v>
      </c>
      <c r="E23" s="3" t="s">
        <v>122</v>
      </c>
      <c r="F23" s="4">
        <v>2</v>
      </c>
    </row>
    <row r="24" spans="2:6" x14ac:dyDescent="0.35">
      <c r="B24" s="15">
        <v>3</v>
      </c>
      <c r="C24" s="17"/>
      <c r="D24" s="2" t="s">
        <v>31</v>
      </c>
      <c r="E24" s="3" t="s">
        <v>123</v>
      </c>
      <c r="F24" s="4">
        <v>2</v>
      </c>
    </row>
    <row r="25" spans="2:6" x14ac:dyDescent="0.35">
      <c r="B25" s="15">
        <v>4</v>
      </c>
      <c r="C25" s="17"/>
      <c r="D25" s="2" t="s">
        <v>33</v>
      </c>
      <c r="E25" s="3"/>
      <c r="F25" s="4"/>
    </row>
    <row r="26" spans="2:6" x14ac:dyDescent="0.35">
      <c r="B26" s="15"/>
      <c r="C26" s="17"/>
      <c r="D26" s="2" t="s">
        <v>34</v>
      </c>
      <c r="E26" s="3"/>
      <c r="F26" s="4"/>
    </row>
    <row r="27" spans="2:6" x14ac:dyDescent="0.35">
      <c r="B27" s="15"/>
      <c r="C27" s="17"/>
      <c r="D27" s="2" t="s">
        <v>35</v>
      </c>
      <c r="E27" s="3"/>
      <c r="F27" s="4"/>
    </row>
    <row r="28" spans="2:6" x14ac:dyDescent="0.35">
      <c r="B28" s="15"/>
      <c r="C28" s="17"/>
      <c r="D28" s="2" t="s">
        <v>36</v>
      </c>
      <c r="E28" s="3"/>
      <c r="F28" s="4"/>
    </row>
    <row r="29" spans="2:6" x14ac:dyDescent="0.35">
      <c r="B29" s="16"/>
      <c r="C29" s="11" t="s">
        <v>111</v>
      </c>
      <c r="D29" s="12"/>
      <c r="E29" s="13"/>
      <c r="F29" s="4">
        <f>SUM(F22:F28)</f>
        <v>6</v>
      </c>
    </row>
    <row r="30" spans="2:6" x14ac:dyDescent="0.35">
      <c r="B30" s="1"/>
      <c r="C30" s="18"/>
      <c r="D30" s="18"/>
      <c r="E30" s="18"/>
      <c r="F30" s="1" t="s">
        <v>2</v>
      </c>
    </row>
    <row r="31" spans="2:6" x14ac:dyDescent="0.35">
      <c r="B31" s="14">
        <v>4</v>
      </c>
      <c r="C31" s="26" t="s">
        <v>162</v>
      </c>
      <c r="D31" s="2" t="s">
        <v>38</v>
      </c>
      <c r="E31" s="3" t="s">
        <v>116</v>
      </c>
      <c r="F31" s="4">
        <v>2</v>
      </c>
    </row>
    <row r="32" spans="2:6" x14ac:dyDescent="0.35">
      <c r="B32" s="15">
        <v>2</v>
      </c>
      <c r="C32" s="26"/>
      <c r="D32" s="2" t="s">
        <v>40</v>
      </c>
      <c r="E32" s="3" t="s">
        <v>117</v>
      </c>
      <c r="F32" s="4">
        <v>2</v>
      </c>
    </row>
    <row r="33" spans="2:7" x14ac:dyDescent="0.35">
      <c r="B33" s="15">
        <v>3</v>
      </c>
      <c r="C33" s="26"/>
      <c r="D33" s="2" t="s">
        <v>42</v>
      </c>
      <c r="E33" s="3" t="s">
        <v>124</v>
      </c>
      <c r="F33" s="4">
        <v>2</v>
      </c>
    </row>
    <row r="34" spans="2:7" x14ac:dyDescent="0.35">
      <c r="B34" s="15">
        <v>4</v>
      </c>
      <c r="C34" s="26"/>
      <c r="D34" s="2" t="s">
        <v>43</v>
      </c>
      <c r="E34" s="3" t="s">
        <v>125</v>
      </c>
      <c r="F34" s="4">
        <v>2</v>
      </c>
    </row>
    <row r="35" spans="2:7" x14ac:dyDescent="0.35">
      <c r="B35" s="15"/>
      <c r="C35" s="26"/>
      <c r="D35" s="2" t="s">
        <v>45</v>
      </c>
      <c r="E35" s="3" t="s">
        <v>126</v>
      </c>
      <c r="F35" s="4">
        <v>2</v>
      </c>
    </row>
    <row r="36" spans="2:7" x14ac:dyDescent="0.35">
      <c r="B36" s="15"/>
      <c r="C36" s="26"/>
      <c r="D36" s="2" t="s">
        <v>46</v>
      </c>
      <c r="E36" s="3"/>
      <c r="F36" s="4"/>
    </row>
    <row r="37" spans="2:7" x14ac:dyDescent="0.35">
      <c r="B37" s="15"/>
      <c r="C37" s="26"/>
      <c r="D37" s="2" t="s">
        <v>47</v>
      </c>
      <c r="E37" s="3"/>
      <c r="F37" s="4"/>
    </row>
    <row r="38" spans="2:7" x14ac:dyDescent="0.35">
      <c r="B38" s="16"/>
      <c r="C38" s="11" t="s">
        <v>111</v>
      </c>
      <c r="D38" s="12"/>
      <c r="E38" s="13"/>
      <c r="F38" s="4">
        <f>SUM(F31:F37)</f>
        <v>10</v>
      </c>
    </row>
    <row r="39" spans="2:7" x14ac:dyDescent="0.35">
      <c r="B39" s="1"/>
      <c r="C39" s="18"/>
      <c r="D39" s="18"/>
      <c r="E39" s="18"/>
      <c r="F39" s="1" t="s">
        <v>2</v>
      </c>
    </row>
    <row r="40" spans="2:7" x14ac:dyDescent="0.35">
      <c r="B40" s="14">
        <v>5</v>
      </c>
      <c r="C40" s="17" t="s">
        <v>127</v>
      </c>
      <c r="D40" s="2" t="s">
        <v>48</v>
      </c>
      <c r="E40" s="3" t="s">
        <v>128</v>
      </c>
      <c r="F40" s="4">
        <v>1</v>
      </c>
    </row>
    <row r="41" spans="2:7" x14ac:dyDescent="0.35">
      <c r="B41" s="15">
        <v>2</v>
      </c>
      <c r="C41" s="17"/>
      <c r="D41" s="2" t="s">
        <v>50</v>
      </c>
      <c r="E41" s="3" t="s">
        <v>163</v>
      </c>
      <c r="F41" s="4">
        <v>2</v>
      </c>
    </row>
    <row r="42" spans="2:7" x14ac:dyDescent="0.35">
      <c r="B42" s="15">
        <v>3</v>
      </c>
      <c r="C42" s="17"/>
      <c r="D42" s="2" t="s">
        <v>53</v>
      </c>
      <c r="E42" s="3"/>
      <c r="F42" s="4"/>
    </row>
    <row r="43" spans="2:7" x14ac:dyDescent="0.35">
      <c r="B43" s="16"/>
      <c r="C43" s="11" t="s">
        <v>111</v>
      </c>
      <c r="D43" s="12"/>
      <c r="E43" s="13"/>
      <c r="F43" s="4">
        <f>SUM(F40:F42)</f>
        <v>3</v>
      </c>
    </row>
    <row r="44" spans="2:7" x14ac:dyDescent="0.35">
      <c r="B44" s="1"/>
      <c r="C44" s="18"/>
      <c r="D44" s="18"/>
      <c r="E44" s="18"/>
      <c r="F44" s="1" t="s">
        <v>2</v>
      </c>
    </row>
    <row r="45" spans="2:7" x14ac:dyDescent="0.35">
      <c r="B45" s="14">
        <v>6</v>
      </c>
      <c r="C45" s="17" t="s">
        <v>129</v>
      </c>
      <c r="D45" s="2" t="s">
        <v>63</v>
      </c>
      <c r="E45" s="3" t="s">
        <v>130</v>
      </c>
      <c r="F45" s="4">
        <v>2</v>
      </c>
    </row>
    <row r="46" spans="2:7" x14ac:dyDescent="0.35">
      <c r="B46" s="15">
        <v>2</v>
      </c>
      <c r="C46" s="17"/>
      <c r="D46" s="2" t="s">
        <v>65</v>
      </c>
      <c r="E46" s="3" t="s">
        <v>117</v>
      </c>
      <c r="F46" s="4">
        <v>2</v>
      </c>
    </row>
    <row r="47" spans="2:7" x14ac:dyDescent="0.35">
      <c r="B47" s="15">
        <v>3</v>
      </c>
      <c r="C47" s="17"/>
      <c r="D47" s="2" t="s">
        <v>66</v>
      </c>
      <c r="E47" s="3" t="s">
        <v>124</v>
      </c>
      <c r="F47" s="4">
        <v>2</v>
      </c>
    </row>
    <row r="48" spans="2:7" ht="29" x14ac:dyDescent="0.35">
      <c r="B48" s="15">
        <v>4</v>
      </c>
      <c r="C48" s="17"/>
      <c r="D48" s="2" t="s">
        <v>131</v>
      </c>
      <c r="E48" s="3" t="s">
        <v>132</v>
      </c>
      <c r="F48" s="4">
        <v>2</v>
      </c>
      <c r="G48" s="7" t="s">
        <v>164</v>
      </c>
    </row>
    <row r="49" spans="2:6" x14ac:dyDescent="0.35">
      <c r="B49" s="15"/>
      <c r="C49" s="17"/>
      <c r="D49" s="2" t="s">
        <v>133</v>
      </c>
      <c r="E49" s="3" t="s">
        <v>126</v>
      </c>
      <c r="F49" s="4">
        <v>2</v>
      </c>
    </row>
    <row r="50" spans="2:6" x14ac:dyDescent="0.35">
      <c r="B50" s="15"/>
      <c r="C50" s="17"/>
      <c r="D50" s="2" t="s">
        <v>134</v>
      </c>
      <c r="E50" s="3"/>
      <c r="F50" s="4"/>
    </row>
    <row r="51" spans="2:6" x14ac:dyDescent="0.35">
      <c r="B51" s="15"/>
      <c r="C51" s="17"/>
      <c r="D51" s="2" t="s">
        <v>135</v>
      </c>
      <c r="E51" s="3"/>
      <c r="F51" s="4"/>
    </row>
    <row r="52" spans="2:6" x14ac:dyDescent="0.35">
      <c r="B52" s="16"/>
      <c r="C52" s="11" t="s">
        <v>111</v>
      </c>
      <c r="D52" s="12"/>
      <c r="E52" s="13"/>
      <c r="F52" s="4">
        <f>SUM(F45:F51)</f>
        <v>10</v>
      </c>
    </row>
    <row r="53" spans="2:6" x14ac:dyDescent="0.35">
      <c r="B53" s="1"/>
      <c r="C53" s="18"/>
      <c r="D53" s="18"/>
      <c r="E53" s="18"/>
      <c r="F53" s="1" t="s">
        <v>2</v>
      </c>
    </row>
    <row r="54" spans="2:6" x14ac:dyDescent="0.35">
      <c r="B54" s="14">
        <v>7</v>
      </c>
      <c r="C54" s="17" t="s">
        <v>136</v>
      </c>
      <c r="D54" s="2" t="s">
        <v>68</v>
      </c>
      <c r="E54" s="3" t="s">
        <v>165</v>
      </c>
      <c r="F54" s="4">
        <v>2</v>
      </c>
    </row>
    <row r="55" spans="2:6" x14ac:dyDescent="0.35">
      <c r="B55" s="15">
        <v>2</v>
      </c>
      <c r="C55" s="17"/>
      <c r="D55" s="2" t="s">
        <v>70</v>
      </c>
      <c r="E55" s="3" t="s">
        <v>166</v>
      </c>
      <c r="F55" s="4">
        <v>2</v>
      </c>
    </row>
    <row r="56" spans="2:6" x14ac:dyDescent="0.35">
      <c r="B56" s="15">
        <v>3</v>
      </c>
      <c r="C56" s="17"/>
      <c r="D56" s="2" t="s">
        <v>72</v>
      </c>
      <c r="E56" s="3" t="s">
        <v>167</v>
      </c>
      <c r="F56" s="4">
        <v>1</v>
      </c>
    </row>
    <row r="57" spans="2:6" x14ac:dyDescent="0.35">
      <c r="B57" s="15">
        <v>4</v>
      </c>
      <c r="C57" s="17"/>
      <c r="D57" s="2" t="s">
        <v>73</v>
      </c>
      <c r="E57" s="3" t="s">
        <v>168</v>
      </c>
      <c r="F57" s="4">
        <v>2</v>
      </c>
    </row>
    <row r="58" spans="2:6" x14ac:dyDescent="0.35">
      <c r="B58" s="15"/>
      <c r="C58" s="17"/>
      <c r="D58" s="2" t="s">
        <v>75</v>
      </c>
      <c r="E58" s="3" t="s">
        <v>169</v>
      </c>
      <c r="F58" s="4">
        <v>3</v>
      </c>
    </row>
    <row r="59" spans="2:6" x14ac:dyDescent="0.35">
      <c r="B59" s="15"/>
      <c r="C59" s="17"/>
      <c r="D59" s="2" t="s">
        <v>76</v>
      </c>
      <c r="E59" s="3"/>
      <c r="F59" s="4"/>
    </row>
    <row r="60" spans="2:6" x14ac:dyDescent="0.35">
      <c r="B60" s="15"/>
      <c r="C60" s="17"/>
      <c r="D60" s="2" t="s">
        <v>77</v>
      </c>
      <c r="E60" s="3"/>
      <c r="F60" s="4"/>
    </row>
    <row r="61" spans="2:6" x14ac:dyDescent="0.35">
      <c r="B61" s="16"/>
      <c r="C61" s="11" t="s">
        <v>111</v>
      </c>
      <c r="D61" s="12"/>
      <c r="E61" s="13"/>
      <c r="F61" s="4">
        <f>SUM(F54:F60)</f>
        <v>10</v>
      </c>
    </row>
    <row r="62" spans="2:6" x14ac:dyDescent="0.35">
      <c r="B62" s="1"/>
      <c r="C62" s="18"/>
      <c r="D62" s="18"/>
      <c r="E62" s="18"/>
      <c r="F62" s="1" t="s">
        <v>2</v>
      </c>
    </row>
    <row r="63" spans="2:6" ht="29" x14ac:dyDescent="0.35">
      <c r="B63" s="14">
        <v>8</v>
      </c>
      <c r="C63" s="17"/>
      <c r="D63" s="2" t="s">
        <v>79</v>
      </c>
      <c r="E63" s="3" t="s">
        <v>181</v>
      </c>
      <c r="F63" s="4">
        <v>2</v>
      </c>
    </row>
    <row r="64" spans="2:6" x14ac:dyDescent="0.35">
      <c r="B64" s="15">
        <v>2</v>
      </c>
      <c r="C64" s="17"/>
      <c r="D64" s="2" t="s">
        <v>81</v>
      </c>
      <c r="E64" s="3"/>
      <c r="F64" s="4"/>
    </row>
    <row r="65" spans="2:6" x14ac:dyDescent="0.35">
      <c r="B65" s="15">
        <v>3</v>
      </c>
      <c r="C65" s="17"/>
      <c r="D65" s="2" t="s">
        <v>83</v>
      </c>
      <c r="E65" s="3"/>
      <c r="F65" s="4"/>
    </row>
    <row r="66" spans="2:6" x14ac:dyDescent="0.35">
      <c r="B66" s="15">
        <v>4</v>
      </c>
      <c r="C66" s="17"/>
      <c r="D66" s="2" t="s">
        <v>84</v>
      </c>
      <c r="E66" s="3"/>
      <c r="F66" s="4"/>
    </row>
    <row r="67" spans="2:6" x14ac:dyDescent="0.35">
      <c r="B67" s="15"/>
      <c r="C67" s="17"/>
      <c r="D67" s="2" t="s">
        <v>86</v>
      </c>
      <c r="E67" s="3"/>
      <c r="F67" s="4"/>
    </row>
    <row r="68" spans="2:6" x14ac:dyDescent="0.35">
      <c r="B68" s="15"/>
      <c r="C68" s="17"/>
      <c r="D68" s="2" t="s">
        <v>87</v>
      </c>
      <c r="E68" s="3"/>
      <c r="F68" s="4"/>
    </row>
    <row r="69" spans="2:6" x14ac:dyDescent="0.35">
      <c r="B69" s="15"/>
      <c r="C69" s="17"/>
      <c r="D69" s="2" t="s">
        <v>88</v>
      </c>
      <c r="E69" s="3"/>
      <c r="F69" s="4"/>
    </row>
    <row r="70" spans="2:6" x14ac:dyDescent="0.35">
      <c r="B70" s="16"/>
      <c r="C70" s="11" t="s">
        <v>111</v>
      </c>
      <c r="D70" s="12"/>
      <c r="E70" s="13"/>
      <c r="F70" s="4">
        <f>SUM(F63:F69)</f>
        <v>2</v>
      </c>
    </row>
  </sheetData>
  <mergeCells count="33">
    <mergeCell ref="C21:E21"/>
    <mergeCell ref="C22:C28"/>
    <mergeCell ref="C30:E30"/>
    <mergeCell ref="C31:C37"/>
    <mergeCell ref="B2:F2"/>
    <mergeCell ref="C4:C10"/>
    <mergeCell ref="C12:E12"/>
    <mergeCell ref="C13:C19"/>
    <mergeCell ref="C11:E11"/>
    <mergeCell ref="B3:E3"/>
    <mergeCell ref="C54:C60"/>
    <mergeCell ref="C62:E62"/>
    <mergeCell ref="C63:C69"/>
    <mergeCell ref="C39:E39"/>
    <mergeCell ref="C40:C42"/>
    <mergeCell ref="C44:E44"/>
    <mergeCell ref="C45:C51"/>
    <mergeCell ref="C70:E70"/>
    <mergeCell ref="B4:B11"/>
    <mergeCell ref="B13:B20"/>
    <mergeCell ref="B22:B29"/>
    <mergeCell ref="B31:B38"/>
    <mergeCell ref="B40:B43"/>
    <mergeCell ref="B45:B52"/>
    <mergeCell ref="B54:B61"/>
    <mergeCell ref="B63:B70"/>
    <mergeCell ref="C20:E20"/>
    <mergeCell ref="C29:E29"/>
    <mergeCell ref="C38:E38"/>
    <mergeCell ref="C43:E43"/>
    <mergeCell ref="C52:E52"/>
    <mergeCell ref="C61:E61"/>
    <mergeCell ref="C53:E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Technical_countermeasures</vt:lpstr>
      <vt:lpstr>Org_countermeasures</vt:lpstr>
      <vt:lpstr>Questionary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Sukhikh</dc:creator>
  <cp:lastModifiedBy>S</cp:lastModifiedBy>
  <dcterms:created xsi:type="dcterms:W3CDTF">2015-06-05T18:17:20Z</dcterms:created>
  <dcterms:modified xsi:type="dcterms:W3CDTF">2026-01-06T17:59:49Z</dcterms:modified>
</cp:coreProperties>
</file>