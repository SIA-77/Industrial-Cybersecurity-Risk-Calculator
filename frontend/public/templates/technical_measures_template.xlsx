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calcChain.xml" ContentType="application/vnd.openxmlformats-officedocument.spreadsheetml.calcChain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10/11/main" xmlns:ns9="http://schemas.microsoft.com/office/spreadsheetml/2018/calcfeatures" ns1:Ignorable="x15 xr xr6 xr10 xr2">
  <ns0:fileVersion appName="xl" lastEdited="7" lowestEdited="7" rupBuild="29426"/>
  <ns0:workbookPr/>
  <ns1:AlternateContent>
    <ns1:Choice Requires="x15">
      <ns2:absPath url="https://d.docs.live.net/94b0492849e8a664/Документы/RA/"/>
    </ns1:Choice>
  </ns1:AlternateContent>
  <ns3:revisionPtr revIDLastSave="2" documentId="8_{0F44B8A1-7405-4867-8BCF-F2666BD3837C}" ns4:coauthVersionLast="47" ns4:coauthVersionMax="47" ns5:uidLastSave="{CA890AC3-672D-44C8-A086-E6EB3146D6A7}"/>
  <ns0:bookViews>
    <ns0:workbookView xWindow="-110" yWindow="-110" windowWidth="38620" windowHeight="21100" activeTab="2" ns6:uid="{00000000-000D-0000-FFFF-FFFF00000000}"/>
  </ns0:bookViews>
  <ns0:sheets>
    <ns0:sheet name="Technical_countermeasures" sheetId="1" ns7:id="rId1"/>
  </ns0:sheets>
  <ns0:calcPr calcId="191029"/>
  <ns0:extLst>
    <ns0:ext uri="{140A7094-0E35-4892-8432-C4D2E57EDEB5}">
      <ns8:workbookPr chartTrackingRefBase="1"/>
    </ns0:ext>
    <ns0:ext uri="{B58B0392-4F1F-4190-BB64-5DF3571DCE5F}">
      <ns9:calcFeatures>
        <ns9:feature name="microsoft.com:RD"/>
        <ns9:feature name="microsoft.com:Single"/>
        <ns9:feature name="microsoft.com:FV"/>
        <ns9:feature name="microsoft.com:CNMTM"/>
      </ns9:calcFeatures>
    </ns0:ext>
  </ns0:extLst>
</ns0:workbook>
</file>

<file path=xl/calcChain.xml><?xml version="1.0" encoding="utf-8"?>
<calcChain xmlns="http://schemas.openxmlformats.org/spreadsheetml/2006/main">
  <c r="F70" i="4" l="1"/>
  <c r="G70" i="4"/>
  <c r="G95" i="4"/>
  <c r="F95" i="4"/>
  <c r="C40" i="4"/>
  <c r="F95" i="1"/>
  <c r="D170" i="4" l="1"/>
  <c r="G165" i="4"/>
  <c r="G156" i="4"/>
  <c r="G147" i="4"/>
  <c r="G138" i="4"/>
  <c r="G133" i="4"/>
  <c r="G124" i="4"/>
  <c r="G115" i="4"/>
  <c r="G106" i="4"/>
  <c r="F165" i="4"/>
  <c r="F156" i="4"/>
  <c r="F147" i="4"/>
  <c r="F138" i="4"/>
  <c r="F133" i="4"/>
  <c r="F124" i="4"/>
  <c r="F115" i="4"/>
  <c r="F106" i="4"/>
  <c r="G20" i="4"/>
  <c r="G29" i="4"/>
  <c r="G38" i="4"/>
  <c r="G47" i="4"/>
  <c r="G52" i="4"/>
  <c r="G61" i="4"/>
  <c r="G79" i="4"/>
  <c r="G86" i="4"/>
  <c r="G11" i="4"/>
  <c r="F86" i="4"/>
  <c r="F79" i="4"/>
  <c r="F61" i="4"/>
  <c r="F52" i="4"/>
  <c r="F47" i="4"/>
  <c r="F38" i="4"/>
  <c r="F29" i="4"/>
  <c r="F20" i="4"/>
  <c r="F11" i="4"/>
  <c r="F70" i="2"/>
  <c r="F61" i="2"/>
  <c r="F52" i="2"/>
  <c r="F43" i="2"/>
  <c r="F38" i="2"/>
  <c r="F20" i="2"/>
  <c r="F29" i="2"/>
  <c r="F11" i="2"/>
  <c r="F38" i="1"/>
  <c r="F47" i="1"/>
  <c r="F61" i="1"/>
  <c r="F70" i="1"/>
  <c r="F79" i="1"/>
  <c r="F86" i="1"/>
  <c r="F52" i="1"/>
  <c r="F29" i="1"/>
  <c r="F20" i="1"/>
  <c r="F11" i="1"/>
</calcChain>
</file>

<file path=xl/sharedStrings.xml><?xml version="1.0" encoding="utf-8"?>
<sst xmlns="http://schemas.openxmlformats.org/spreadsheetml/2006/main" count="566" uniqueCount="182">
  <si>
    <t>Criteria</t>
  </si>
  <si>
    <t>Technical measures</t>
  </si>
  <si>
    <t>Max. Score</t>
  </si>
  <si>
    <t>Segmentation (BPCS, SIS)</t>
  </si>
  <si>
    <t>1.1</t>
  </si>
  <si>
    <t>All BPCS are separated according to IEC 62443 recommendations and considering site particular features</t>
  </si>
  <si>
    <t>1.2</t>
  </si>
  <si>
    <t>All SIS systems are separated from each other considering site particular features</t>
  </si>
  <si>
    <t>1.3</t>
  </si>
  <si>
    <t>SIS systems are separated from BPCS(DCS)</t>
  </si>
  <si>
    <t>1.4</t>
  </si>
  <si>
    <t>All zones and conduits are defined, information flow between zones is described, protection measures are in place</t>
  </si>
  <si>
    <t>1.5</t>
  </si>
  <si>
    <t>1.6</t>
  </si>
  <si>
    <t>1.7</t>
  </si>
  <si>
    <t>DMZ is in place and organized in a proper way</t>
  </si>
  <si>
    <t>2.1</t>
  </si>
  <si>
    <t>DMZ is build using one Firewall (+1 point) or two Firewalls (+2 point), additional 0,5 points if FW vendors are different</t>
  </si>
  <si>
    <t>2.2</t>
  </si>
  <si>
    <t>All communications are running through transitional servers in DMZ (+1,5 points), -0,5 points per each direct communication between ICS and enterprise network</t>
  </si>
  <si>
    <t>2.3</t>
  </si>
  <si>
    <t>2.4</t>
  </si>
  <si>
    <t>2.5</t>
  </si>
  <si>
    <t>2.6</t>
  </si>
  <si>
    <t>DMZ is connected to the Enterprise network, not to the Internet (+1pt)</t>
  </si>
  <si>
    <t>2.7</t>
  </si>
  <si>
    <t>SIS protection for isolated system(if applicable)</t>
  </si>
  <si>
    <t>3.1</t>
  </si>
  <si>
    <t xml:space="preserve">SIS is an isolated system (air gap) </t>
  </si>
  <si>
    <t>3.2</t>
  </si>
  <si>
    <t>SIS controllers are hardened</t>
  </si>
  <si>
    <t>3.3</t>
  </si>
  <si>
    <t>SIS has CSA/SSA certificate (Lvl1 -1pt, lvl2 -2pt, lvl3 - 3pt)</t>
  </si>
  <si>
    <t>3.4</t>
  </si>
  <si>
    <t>3.5</t>
  </si>
  <si>
    <t>3.6</t>
  </si>
  <si>
    <t>3.7</t>
  </si>
  <si>
    <t>SIS protection and integration (if applicable)</t>
  </si>
  <si>
    <t>4.1</t>
  </si>
  <si>
    <t>SIS or critical packaged systems are integrated with DCS (BPCS) using firewalls or serial interfaces</t>
  </si>
  <si>
    <t>4.2</t>
  </si>
  <si>
    <t>Configuration of a firewall or serial interfaces don't allow to make changes in the SIS system, which could impact safety algorithms</t>
  </si>
  <si>
    <t>4.3</t>
  </si>
  <si>
    <t>4.4</t>
  </si>
  <si>
    <t>SIS Operator and engineer stations are protected and hardened using vendor recommendation/best practices and/or corporate standards</t>
  </si>
  <si>
    <t>4.5</t>
  </si>
  <si>
    <t>4.6</t>
  </si>
  <si>
    <t>4.7</t>
  </si>
  <si>
    <t>5.1</t>
  </si>
  <si>
    <t>There are no known vulnerabilities in the ICS, including PLCs/DCS, networks equipment, OSs, 3rd party software, DMZ</t>
  </si>
  <si>
    <t>5.2</t>
  </si>
  <si>
    <t>If CVSS score is critical use formula: 100*Expl.Prob, where Expl.Prob=(DMZ.Score,%+Segm.Score,%+Hd.Score,%)*Ex.V/3 Ex.V – expert value</t>
  </si>
  <si>
    <t>up to -100</t>
  </si>
  <si>
    <t>5.3</t>
  </si>
  <si>
    <t>If CVSS score is high use formula: 60*Expl.Prob, where Expl.Prob=(DMZ.Score,%+Segm.Score,%+Hd.Score,%)*Ex.V/3 Ex.V – expert value</t>
  </si>
  <si>
    <t>5.4</t>
  </si>
  <si>
    <t>If CVSS score is medium use formula: 20*Expl.Prob, where Expl.Prob=(DMZ.Score,%+Segm.Score,%+Hd.Score,%)*Ex.V/3 Ex.V – expert value</t>
  </si>
  <si>
    <t>5.5</t>
  </si>
  <si>
    <t>If CVSS score is low use formula: 0&lt;#Vulners&lt;20 - -10pt, 20&lt;=#Vulners&lt;50 - -20pt, #Vulners&gt;=50 - -30pt. Ex.V could be used in all cases</t>
  </si>
  <si>
    <t>up to -30</t>
  </si>
  <si>
    <t>5.6</t>
  </si>
  <si>
    <t>5.7</t>
  </si>
  <si>
    <t>Threat model</t>
  </si>
  <si>
    <t>6.1</t>
  </si>
  <si>
    <t>Threat model is designed</t>
  </si>
  <si>
    <t>6.2</t>
  </si>
  <si>
    <t>6.3</t>
  </si>
  <si>
    <t>Physical access control</t>
  </si>
  <si>
    <t>7.1</t>
  </si>
  <si>
    <t>No access control</t>
  </si>
  <si>
    <t>7.2</t>
  </si>
  <si>
    <t>Site perimeter access control (weak/intermediate/strong)</t>
  </si>
  <si>
    <t>7.3</t>
  </si>
  <si>
    <t>7.4</t>
  </si>
  <si>
    <t>CCTV systems are in place and control all rooms with ICS equipment (no, partially, yes)</t>
  </si>
  <si>
    <t>7.5</t>
  </si>
  <si>
    <t>7.6</t>
  </si>
  <si>
    <t>7.7</t>
  </si>
  <si>
    <t>Remote access</t>
  </si>
  <si>
    <t>8.1</t>
  </si>
  <si>
    <t>No remote access to ICS</t>
  </si>
  <si>
    <t>8.2</t>
  </si>
  <si>
    <t>Remote access is implemented and supported by 3rd party and the customer don't know how</t>
  </si>
  <si>
    <t>8.3</t>
  </si>
  <si>
    <t>8.4</t>
  </si>
  <si>
    <t>Remote access is based on widely known and/or tested and validated solutions/products</t>
  </si>
  <si>
    <t>8.5</t>
  </si>
  <si>
    <t>8.6</t>
  </si>
  <si>
    <t>8.7</t>
  </si>
  <si>
    <t>Hardening</t>
  </si>
  <si>
    <t>9.1</t>
  </si>
  <si>
    <t>Industrial controllers (or DCS) are hardened considering vendor's recommendations and site specific features (no, partially, yes)</t>
  </si>
  <si>
    <t>9.2</t>
  </si>
  <si>
    <t>Network equipment is hardened considering vendor's recommendations and site specific features (no, partially, yes)</t>
  </si>
  <si>
    <t>9.3</t>
  </si>
  <si>
    <t>Servers and operating stations are hardened considering vendor's recommendations and site specific features (no, partially, yes)</t>
  </si>
  <si>
    <t>9.4</t>
  </si>
  <si>
    <t>All other systems interacting with ICS or included in ICS are hardened (no, partially, yes)</t>
  </si>
  <si>
    <t>9.5</t>
  </si>
  <si>
    <t>Automated tools are used to check for compliance  (no, partially, yes)</t>
  </si>
  <si>
    <t>9.6</t>
  </si>
  <si>
    <t>9.7</t>
  </si>
  <si>
    <t>React and Control</t>
  </si>
  <si>
    <t>10.1</t>
  </si>
  <si>
    <t>IDSs in BPCS are in place</t>
  </si>
  <si>
    <t>10.2</t>
  </si>
  <si>
    <t>10.3</t>
  </si>
  <si>
    <t>Logs are collected and correlated (SIEM)</t>
  </si>
  <si>
    <t>10.4</t>
  </si>
  <si>
    <t>10.5</t>
  </si>
  <si>
    <t>Backups are stored in a safe manner</t>
  </si>
  <si>
    <t>Group  maximum score</t>
  </si>
  <si>
    <t>Inventory is completed</t>
  </si>
  <si>
    <t>The ICS software platforms and applications within the site are inventoried (no, partially, yes)</t>
  </si>
  <si>
    <t>The ICS hardware devices and systems within the site are inventoried  (no, partially, yes)</t>
  </si>
  <si>
    <t>Change management policies are designed, communicated and implemented within the site</t>
  </si>
  <si>
    <t xml:space="preserve">Change management policies and procedures are transparent and clear (no, partially, yes) </t>
  </si>
  <si>
    <t xml:space="preserve">Personnel are aware of policies and procedures, they know and understand them (no, partially, yes) </t>
  </si>
  <si>
    <t xml:space="preserve">No changes can be made without manager approval/notification (no, partially, yes) </t>
  </si>
  <si>
    <t xml:space="preserve">All changes are documented and can be tracked (no, partially, yes) </t>
  </si>
  <si>
    <t>All communications within the ICS and between the ICS and 3rd parties are described</t>
  </si>
  <si>
    <t xml:space="preserve">All communications within the ICS (ports, protocols, type of data) are described (no, partially, yes) </t>
  </si>
  <si>
    <t xml:space="preserve">All communications between the ICS and 3rd parties (ports, protocols, type of data) are described (no, partially, yes) </t>
  </si>
  <si>
    <t>This information is used by IT/OT personnel to configure protection measures</t>
  </si>
  <si>
    <t xml:space="preserve">All described in the policies/procedures roles are assigned (no, partially, yes) </t>
  </si>
  <si>
    <t xml:space="preserve">Personnel have enough knowledge (no, partially, yes) </t>
  </si>
  <si>
    <t xml:space="preserve">Enough resources are dedicated to support policies and procedures (no, partially, yes) </t>
  </si>
  <si>
    <t>The ICS complies with local regulation</t>
  </si>
  <si>
    <t xml:space="preserve">The ICS complies with local regulation (no, yes) </t>
  </si>
  <si>
    <t>Supply chain risk management practices are in place</t>
  </si>
  <si>
    <t xml:space="preserve">Supply chain risk management policies and procedures are transparent and clear (no, partially, yes) </t>
  </si>
  <si>
    <t>6.4</t>
  </si>
  <si>
    <t>Existing policies and procedures cover all aspects of ICS lifecycle (no, partially, yes)</t>
  </si>
  <si>
    <t>6.5</t>
  </si>
  <si>
    <t>6.6</t>
  </si>
  <si>
    <t>6.7</t>
  </si>
  <si>
    <t>Employees are trained and educated</t>
  </si>
  <si>
    <t>Score</t>
  </si>
  <si>
    <t>Number of questions (technical group)</t>
  </si>
  <si>
    <t>11.1</t>
  </si>
  <si>
    <t>11.2</t>
  </si>
  <si>
    <t>11.3</t>
  </si>
  <si>
    <t>11.4</t>
  </si>
  <si>
    <t>11.5</t>
  </si>
  <si>
    <t>11.6</t>
  </si>
  <si>
    <t>11.7</t>
  </si>
  <si>
    <t>Existence of known vulnerabilities (DCS)</t>
  </si>
  <si>
    <t>All zones can operate independently from other zones (e.g. Communication between zones is interrupted due to attack)</t>
  </si>
  <si>
    <t>No encrypted protocols are used between ICS and DMZ (+0,5pt), and all sensitive communications between DMZ and enterprise networks are protected (authentication, encryption, etc.) (+0,5pt)</t>
  </si>
  <si>
    <t>NIDS is used to monitor traffic in DMZ (+1pt). NIDS is connected to corporate Incident response platform (+1pt)</t>
  </si>
  <si>
    <t>All servers in DMZ are hardened, protected and managed in accordance with best practices and/or corporate policies/procedures (+2pt). -0,25pt per each not hardened/protected server. -0,5pt if servers/services are not managed proactively.</t>
  </si>
  <si>
    <t>If SIS is an isolated system proper measures should be taken to prevent SIS system from unauthorized connection to other networks and changes including: antivirus protection, device control, hardening, BIOS/UEFI protection, regular audits, change management, policies and procedures</t>
  </si>
  <si>
    <t>Access to ICS equipment is controlled (no, partially, yes) in addition to site access control</t>
  </si>
  <si>
    <t>Advanced CCTV features are implemented (face recognition, tracking, etc.)</t>
  </si>
  <si>
    <t>Security systems are integrated with IRP (no, partially, yes)</t>
  </si>
  <si>
    <t>Remote access is compliant with local regulation</t>
  </si>
  <si>
    <t>MFA together with compliance check is used</t>
  </si>
  <si>
    <t>Accounts (especially privileged) for remote users are created directly for session and then deleted</t>
  </si>
  <si>
    <t>Logging is on on switches, PLCs, Workstations and servers, FWs, etc.</t>
  </si>
  <si>
    <t>Backups are created regularly</t>
  </si>
  <si>
    <t>Existence of known vulnerabilities (SIS)</t>
  </si>
  <si>
    <t>Inventory data is regularly updated (no, manually after changes, manually after changes + at least every 6 months, automatically)</t>
  </si>
  <si>
    <t>Cybersecurity policies and procedures are designed, communicated and implemented within the site and for this particular ICS, roles are described, resources are assigned</t>
  </si>
  <si>
    <t>The ICS complies with best practices (no, partially, yes)</t>
  </si>
  <si>
    <t>Vendor selection, delivery, commissioning, service, modernization/migration/removal</t>
  </si>
  <si>
    <t>Employees have enough knowledge to do their job (no, partially, yes)</t>
  </si>
  <si>
    <t>Employees are aware of cyber threats and understand that it is real (no, partially, yes)</t>
  </si>
  <si>
    <t>Employees are aware of local regulation (no, partially, yes)</t>
  </si>
  <si>
    <t>Employees are aware of best partially (no, partially, yes)</t>
  </si>
  <si>
    <t>Employees are trained on the regular basis (each quarter - 3pt, every half a year - 2pt, 1 year - 1 pt.)</t>
  </si>
  <si>
    <t>Logging is on  switches, PLCs, Workstations and servers, FWs, etc.</t>
  </si>
  <si>
    <t>Organisational measures</t>
  </si>
  <si>
    <t>Number of questions (organisational measures)</t>
  </si>
  <si>
    <t>Technical countermeasures</t>
  </si>
  <si>
    <t>Organisational countermeasures</t>
  </si>
  <si>
    <t>According to CVSSv3 scoring system</t>
  </si>
  <si>
    <t>If CVSS score is critical use formula: 100*Expl.Prob, where Expl.Prob=(DMZ.Score,%+Segm.Score,%+Hd.Score,%)*Ex.V/3 Ex.V – expert value
or
At least one vulnurability exists with threat score (according to the methodology) equal or higher then 0,4 of maximum threat score - 0pt
otherwise 100-threat scores</t>
  </si>
  <si>
    <t>If CVSS score is high use formula: 60*Expl.Prob, where Expl.Prob=(DMZ.Score,%+Segm.Score,%+Hd.Score,%)*Ex.V/3 Ex.V – expert value
or
At least one vulnurability exists with threat score (according to the methodology) equal or higher then 0,4 of maximum threat score - 0pt
otherwise 100-threat scores</t>
  </si>
  <si>
    <t>If CVSS score is medium use formula: 20*Expl.Prob, where Expl.Prob=(DMZ.Score,%+Segm.Score,%+Hd.Score,%)*Ex.V/3 Ex.V – expert value
or
At least one vulnurability exists with threat score (according to the methodology) equal or higher then 0,4 of maximum threat score - 0pt
otherwise 100-threat scores</t>
  </si>
  <si>
    <t>Protection and Hardening</t>
  </si>
  <si>
    <t>Servers and operator stations are hardened considering vendor's recommendations and site specific features (no, partially, yes)</t>
  </si>
  <si>
    <t>penetration testing is performed for critical elements on the yearly basis (0-no, 1-pertialy, 2- every year or more eften)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</si>
</sst>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3" borderId="4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5" xfId="0" applyFont="1" applyBorder="1" applyAlignment="1">
      <alignment horizontal="left" vertical="center"/>
    </xf>
    <xf numFmtId="0" fontId="1" fillId="0" borderId="6" xfId="0" applyFont="1" applyBorder="1"/>
    <xf numFmtId="0" fontId="1" fillId="0" borderId="7" xfId="0" applyFon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2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2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7" Type="http://schemas.openxmlformats.org/officeDocument/2006/relationships/calcChain" Target="calcChain.xml" /><ns0:Relationship Id="rId1" Type="http://schemas.openxmlformats.org/officeDocument/2006/relationships/worksheet" Target="worksheets/sheet1.xml" /><ns0:Relationship Id="rId6" Type="http://schemas.openxmlformats.org/officeDocument/2006/relationships/sharedStrings" Target="sharedStrings.xml" /><ns0:Relationship Id="rId5" Type="http://schemas.openxmlformats.org/officeDocument/2006/relationships/styles" Target="styles.xml" /><ns0:Relationship Id="rId4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opLeftCell="A17" zoomScale="85" zoomScaleNormal="85" workbookViewId="0">
      <selection activeCell="C79" sqref="C79:E79"/>
    </sheetView>
  </sheetViews>
  <sheetFormatPr defaultRowHeight="14.5" x14ac:dyDescent="0.35"/>
  <cols>
    <col min="2" max="2" width="6.453125" style="6" customWidth="1"/>
    <col min="3" max="3" width="90.90625" customWidth="1"/>
    <col min="5" max="5" width="89.6328125" customWidth="1"/>
    <col min="6" max="6" width="11.6328125" style="6" customWidth="1"/>
  </cols>
  <sheetData>
    <row r="2" spans="2:6" x14ac:dyDescent="0.35">
      <c r="B2" s="22" t="s">
        <v>0</v>
      </c>
      <c r="C2" s="23"/>
      <c r="D2" s="23"/>
      <c r="E2" s="23"/>
      <c r="F2" s="23"/>
    </row>
    <row r="3" spans="2:6" ht="15.5" x14ac:dyDescent="0.35">
      <c r="B3" s="1"/>
      <c r="C3" s="24" t="s">
        <v>173</v>
      </c>
      <c r="D3" s="25"/>
      <c r="E3" s="25"/>
      <c r="F3" s="1" t="s">
        <v>2</v>
      </c>
    </row>
    <row r="4" spans="2:6" x14ac:dyDescent="0.35">
      <c r="B4" s="14">
        <v>1</v>
      </c>
      <c r="C4" s="17" t="s">
        <v>3</v>
      </c>
      <c r="D4" s="2" t="s">
        <v>4</v>
      </c>
      <c r="E4" s="3" t="s">
        <v>5</v>
      </c>
      <c r="F4" s="4">
        <v>2</v>
      </c>
    </row>
    <row r="5" spans="2:6" x14ac:dyDescent="0.35">
      <c r="B5" s="15"/>
      <c r="C5" s="17"/>
      <c r="D5" s="2" t="s">
        <v>6</v>
      </c>
      <c r="E5" s="3" t="s">
        <v>7</v>
      </c>
      <c r="F5" s="4">
        <v>2</v>
      </c>
    </row>
    <row r="6" spans="2:6" x14ac:dyDescent="0.35">
      <c r="B6" s="15"/>
      <c r="C6" s="17"/>
      <c r="D6" s="2" t="s">
        <v>8</v>
      </c>
      <c r="E6" s="3" t="s">
        <v>9</v>
      </c>
      <c r="F6" s="4">
        <v>2</v>
      </c>
    </row>
    <row r="7" spans="2:6" ht="29" x14ac:dyDescent="0.35">
      <c r="B7" s="15"/>
      <c r="C7" s="17"/>
      <c r="D7" s="2" t="s">
        <v>10</v>
      </c>
      <c r="E7" s="3" t="s">
        <v>11</v>
      </c>
      <c r="F7" s="4">
        <v>2</v>
      </c>
    </row>
    <row r="8" spans="2:6" ht="29" x14ac:dyDescent="0.35">
      <c r="B8" s="15"/>
      <c r="C8" s="17"/>
      <c r="D8" s="2" t="s">
        <v>12</v>
      </c>
      <c r="E8" s="3" t="s">
        <v>147</v>
      </c>
      <c r="F8" s="4">
        <v>2</v>
      </c>
    </row>
    <row r="9" spans="2:6" x14ac:dyDescent="0.35">
      <c r="B9" s="15"/>
      <c r="C9" s="17"/>
      <c r="D9" s="2" t="s">
        <v>13</v>
      </c>
      <c r="E9" s="3"/>
      <c r="F9" s="4"/>
    </row>
    <row r="10" spans="2:6" x14ac:dyDescent="0.35">
      <c r="B10" s="15"/>
      <c r="C10" s="17"/>
      <c r="D10" s="2" t="s">
        <v>14</v>
      </c>
      <c r="E10" s="3"/>
      <c r="F10" s="4"/>
    </row>
    <row r="11" spans="2:6" x14ac:dyDescent="0.35">
      <c r="B11" s="16"/>
      <c r="C11" s="11" t="s">
        <v>111</v>
      </c>
      <c r="D11" s="12"/>
      <c r="E11" s="13"/>
      <c r="F11" s="4">
        <f>SUM(F4:F10)</f>
        <v>10</v>
      </c>
    </row>
    <row r="12" spans="2:6" x14ac:dyDescent="0.35">
      <c r="B12" s="1"/>
      <c r="C12" s="18"/>
      <c r="D12" s="18"/>
      <c r="E12" s="18"/>
      <c r="F12" s="1" t="s">
        <v>2</v>
      </c>
    </row>
    <row r="13" spans="2:6" ht="29" x14ac:dyDescent="0.35">
      <c r="B13" s="14">
        <v>2</v>
      </c>
      <c r="C13" s="17" t="s">
        <v>15</v>
      </c>
      <c r="D13" s="2" t="s">
        <v>16</v>
      </c>
      <c r="E13" s="3" t="s">
        <v>17</v>
      </c>
      <c r="F13" s="4">
        <v>2.5</v>
      </c>
    </row>
    <row r="14" spans="2:6" ht="29" x14ac:dyDescent="0.35">
      <c r="B14" s="15">
        <v>2</v>
      </c>
      <c r="C14" s="17"/>
      <c r="D14" s="2" t="s">
        <v>18</v>
      </c>
      <c r="E14" s="3" t="s">
        <v>19</v>
      </c>
      <c r="F14" s="4">
        <v>1.5</v>
      </c>
    </row>
    <row r="15" spans="2:6" ht="29" x14ac:dyDescent="0.35">
      <c r="B15" s="15">
        <v>3</v>
      </c>
      <c r="C15" s="17"/>
      <c r="D15" s="2" t="s">
        <v>20</v>
      </c>
      <c r="E15" s="3" t="s">
        <v>148</v>
      </c>
      <c r="F15" s="4">
        <v>1</v>
      </c>
    </row>
    <row r="16" spans="2:6" ht="29" x14ac:dyDescent="0.35">
      <c r="B16" s="15">
        <v>4</v>
      </c>
      <c r="C16" s="17"/>
      <c r="D16" s="2" t="s">
        <v>21</v>
      </c>
      <c r="E16" s="3" t="s">
        <v>149</v>
      </c>
      <c r="F16" s="4">
        <v>2</v>
      </c>
    </row>
    <row r="17" spans="2:6" ht="43.5" x14ac:dyDescent="0.35">
      <c r="B17" s="15"/>
      <c r="C17" s="17"/>
      <c r="D17" s="2" t="s">
        <v>22</v>
      </c>
      <c r="E17" s="3" t="s">
        <v>150</v>
      </c>
      <c r="F17" s="4">
        <v>2</v>
      </c>
    </row>
    <row r="18" spans="2:6" x14ac:dyDescent="0.35">
      <c r="B18" s="15"/>
      <c r="C18" s="17"/>
      <c r="D18" s="2" t="s">
        <v>23</v>
      </c>
      <c r="E18" s="3" t="s">
        <v>24</v>
      </c>
      <c r="F18" s="4">
        <v>1</v>
      </c>
    </row>
    <row r="19" spans="2:6" x14ac:dyDescent="0.35">
      <c r="B19" s="15"/>
      <c r="C19" s="17"/>
      <c r="D19" s="2" t="s">
        <v>25</v>
      </c>
      <c r="E19" s="3"/>
      <c r="F19" s="4"/>
    </row>
    <row r="20" spans="2:6" x14ac:dyDescent="0.35">
      <c r="B20" s="16"/>
      <c r="C20" s="11" t="s">
        <v>111</v>
      </c>
      <c r="D20" s="12"/>
      <c r="E20" s="13"/>
      <c r="F20" s="4">
        <f>SUM(F13:F19)</f>
        <v>10</v>
      </c>
    </row>
    <row r="21" spans="2:6" x14ac:dyDescent="0.35">
      <c r="B21" s="1"/>
      <c r="C21" s="18"/>
      <c r="D21" s="18"/>
      <c r="E21" s="18"/>
      <c r="F21" s="1" t="s">
        <v>2</v>
      </c>
    </row>
    <row r="22" spans="2:6" x14ac:dyDescent="0.35">
      <c r="B22" s="14">
        <v>3</v>
      </c>
      <c r="C22" s="17" t="s">
        <v>26</v>
      </c>
      <c r="D22" s="2" t="s">
        <v>27</v>
      </c>
      <c r="E22" s="3" t="s">
        <v>28</v>
      </c>
      <c r="F22" s="4">
        <v>2</v>
      </c>
    </row>
    <row r="23" spans="2:6" x14ac:dyDescent="0.35">
      <c r="B23" s="15">
        <v>2</v>
      </c>
      <c r="C23" s="17"/>
      <c r="D23" s="2" t="s">
        <v>29</v>
      </c>
      <c r="E23" s="3" t="s">
        <v>30</v>
      </c>
      <c r="F23" s="4">
        <v>2</v>
      </c>
    </row>
    <row r="24" spans="2:6" x14ac:dyDescent="0.35">
      <c r="B24" s="15">
        <v>3</v>
      </c>
      <c r="C24" s="17"/>
      <c r="D24" s="2" t="s">
        <v>31</v>
      </c>
      <c r="E24" s="3" t="s">
        <v>32</v>
      </c>
      <c r="F24" s="4">
        <v>3</v>
      </c>
    </row>
    <row r="25" spans="2:6" ht="43.5" x14ac:dyDescent="0.35">
      <c r="B25" s="15">
        <v>4</v>
      </c>
      <c r="C25" s="17"/>
      <c r="D25" s="2" t="s">
        <v>33</v>
      </c>
      <c r="E25" s="3" t="s">
        <v>151</v>
      </c>
      <c r="F25" s="4">
        <v>3</v>
      </c>
    </row>
    <row r="26" spans="2:6" x14ac:dyDescent="0.35">
      <c r="B26" s="15"/>
      <c r="C26" s="17"/>
      <c r="D26" s="2" t="s">
        <v>34</v>
      </c>
      <c r="E26" s="3"/>
      <c r="F26" s="4"/>
    </row>
    <row r="27" spans="2:6" x14ac:dyDescent="0.35">
      <c r="B27" s="15"/>
      <c r="C27" s="17"/>
      <c r="D27" s="2" t="s">
        <v>35</v>
      </c>
      <c r="E27" s="3"/>
      <c r="F27" s="4"/>
    </row>
    <row r="28" spans="2:6" x14ac:dyDescent="0.35">
      <c r="B28" s="15"/>
      <c r="C28" s="17"/>
      <c r="D28" s="2" t="s">
        <v>36</v>
      </c>
      <c r="E28" s="3"/>
      <c r="F28" s="4"/>
    </row>
    <row r="29" spans="2:6" x14ac:dyDescent="0.35">
      <c r="B29" s="16"/>
      <c r="C29" s="11" t="s">
        <v>111</v>
      </c>
      <c r="D29" s="12"/>
      <c r="E29" s="13"/>
      <c r="F29" s="4">
        <f>SUM(F22:F28)</f>
        <v>10</v>
      </c>
    </row>
    <row r="30" spans="2:6" x14ac:dyDescent="0.35">
      <c r="B30" s="1"/>
      <c r="C30" s="18"/>
      <c r="D30" s="18"/>
      <c r="E30" s="18"/>
      <c r="F30" s="1" t="s">
        <v>2</v>
      </c>
    </row>
    <row r="31" spans="2:6" x14ac:dyDescent="0.35">
      <c r="B31" s="14">
        <v>4</v>
      </c>
      <c r="C31" s="19" t="s">
        <v>37</v>
      </c>
      <c r="D31" s="2" t="s">
        <v>38</v>
      </c>
      <c r="E31" s="5" t="s">
        <v>39</v>
      </c>
      <c r="F31" s="4">
        <v>2</v>
      </c>
    </row>
    <row r="32" spans="2:6" ht="29" x14ac:dyDescent="0.35">
      <c r="B32" s="15">
        <v>2</v>
      </c>
      <c r="C32" s="20"/>
      <c r="D32" s="2" t="s">
        <v>40</v>
      </c>
      <c r="E32" s="5" t="s">
        <v>41</v>
      </c>
      <c r="F32" s="4">
        <v>1</v>
      </c>
    </row>
    <row r="33" spans="2:6" x14ac:dyDescent="0.35">
      <c r="B33" s="15">
        <v>3</v>
      </c>
      <c r="C33" s="20"/>
      <c r="D33" s="2" t="s">
        <v>42</v>
      </c>
      <c r="E33" s="5" t="s">
        <v>30</v>
      </c>
      <c r="F33" s="4">
        <v>2</v>
      </c>
    </row>
    <row r="34" spans="2:6" ht="29" x14ac:dyDescent="0.35">
      <c r="B34" s="15">
        <v>4</v>
      </c>
      <c r="C34" s="20"/>
      <c r="D34" s="2" t="s">
        <v>43</v>
      </c>
      <c r="E34" s="5" t="s">
        <v>44</v>
      </c>
      <c r="F34" s="4">
        <v>2</v>
      </c>
    </row>
    <row r="35" spans="2:6" x14ac:dyDescent="0.35">
      <c r="B35" s="15"/>
      <c r="C35" s="20"/>
      <c r="D35" s="2" t="s">
        <v>45</v>
      </c>
      <c r="E35" s="5" t="s">
        <v>32</v>
      </c>
      <c r="F35" s="4">
        <v>3</v>
      </c>
    </row>
    <row r="36" spans="2:6" x14ac:dyDescent="0.35">
      <c r="B36" s="15"/>
      <c r="C36" s="20"/>
      <c r="D36" s="2" t="s">
        <v>46</v>
      </c>
      <c r="E36" s="5"/>
      <c r="F36" s="4"/>
    </row>
    <row r="37" spans="2:6" x14ac:dyDescent="0.35">
      <c r="B37" s="15"/>
      <c r="C37" s="21"/>
      <c r="D37" s="2" t="s">
        <v>47</v>
      </c>
      <c r="E37" s="5"/>
      <c r="F37" s="4"/>
    </row>
    <row r="38" spans="2:6" x14ac:dyDescent="0.35">
      <c r="B38" s="16"/>
      <c r="C38" s="11" t="s">
        <v>111</v>
      </c>
      <c r="D38" s="12"/>
      <c r="E38" s="13"/>
      <c r="F38" s="4">
        <f>SUM(F31:F37)</f>
        <v>10</v>
      </c>
    </row>
    <row r="39" spans="2:6" x14ac:dyDescent="0.35">
      <c r="B39" s="1"/>
      <c r="C39" s="18"/>
      <c r="D39" s="18"/>
      <c r="E39" s="18"/>
      <c r="F39" s="1" t="s">
        <v>2</v>
      </c>
    </row>
    <row r="40" spans="2:6" ht="29" x14ac:dyDescent="0.35">
      <c r="B40" s="14">
        <v>5</v>
      </c>
      <c r="C40" s="17" t="s">
        <v>146</v>
      </c>
      <c r="D40" s="2" t="s">
        <v>48</v>
      </c>
      <c r="E40" s="5" t="s">
        <v>49</v>
      </c>
      <c r="F40" s="4">
        <v>100</v>
      </c>
    </row>
    <row r="41" spans="2:6" ht="29" x14ac:dyDescent="0.35">
      <c r="B41" s="15">
        <v>2</v>
      </c>
      <c r="C41" s="17"/>
      <c r="D41" s="2" t="s">
        <v>50</v>
      </c>
      <c r="E41" s="5" t="s">
        <v>51</v>
      </c>
      <c r="F41" s="4" t="s">
        <v>52</v>
      </c>
    </row>
    <row r="42" spans="2:6" ht="29" x14ac:dyDescent="0.35">
      <c r="B42" s="15">
        <v>3</v>
      </c>
      <c r="C42" s="17"/>
      <c r="D42" s="2" t="s">
        <v>53</v>
      </c>
      <c r="E42" s="5" t="s">
        <v>54</v>
      </c>
      <c r="F42" s="4" t="s">
        <v>52</v>
      </c>
    </row>
    <row r="43" spans="2:6" ht="29" x14ac:dyDescent="0.35">
      <c r="B43" s="15">
        <v>4</v>
      </c>
      <c r="C43" s="17"/>
      <c r="D43" s="2" t="s">
        <v>55</v>
      </c>
      <c r="E43" s="5" t="s">
        <v>56</v>
      </c>
      <c r="F43" s="4" t="s">
        <v>52</v>
      </c>
    </row>
    <row r="44" spans="2:6" ht="29" x14ac:dyDescent="0.35">
      <c r="B44" s="15"/>
      <c r="C44" s="17"/>
      <c r="D44" s="2" t="s">
        <v>57</v>
      </c>
      <c r="E44" s="5" t="s">
        <v>58</v>
      </c>
      <c r="F44" s="4" t="s">
        <v>59</v>
      </c>
    </row>
    <row r="45" spans="2:6" x14ac:dyDescent="0.35">
      <c r="B45" s="15"/>
      <c r="C45" s="17"/>
      <c r="D45" s="2" t="s">
        <v>60</v>
      </c>
      <c r="E45" s="5"/>
      <c r="F45" s="4"/>
    </row>
    <row r="46" spans="2:6" x14ac:dyDescent="0.35">
      <c r="B46" s="15"/>
      <c r="C46" s="17"/>
      <c r="D46" s="2" t="s">
        <v>61</v>
      </c>
      <c r="E46" s="5"/>
      <c r="F46" s="4"/>
    </row>
    <row r="47" spans="2:6" x14ac:dyDescent="0.35">
      <c r="B47" s="16"/>
      <c r="C47" s="11" t="s">
        <v>111</v>
      </c>
      <c r="D47" s="12"/>
      <c r="E47" s="13"/>
      <c r="F47" s="4">
        <f>SUM(F40:F46)</f>
        <v>100</v>
      </c>
    </row>
    <row r="48" spans="2:6" x14ac:dyDescent="0.35">
      <c r="B48" s="1"/>
      <c r="C48" s="18"/>
      <c r="D48" s="18"/>
      <c r="E48" s="18"/>
      <c r="F48" s="1" t="s">
        <v>2</v>
      </c>
    </row>
    <row r="49" spans="2:6" x14ac:dyDescent="0.35">
      <c r="B49" s="14">
        <v>6</v>
      </c>
      <c r="C49" s="17" t="s">
        <v>62</v>
      </c>
      <c r="D49" s="2" t="s">
        <v>63</v>
      </c>
      <c r="E49" s="5" t="s">
        <v>64</v>
      </c>
      <c r="F49" s="4">
        <v>2</v>
      </c>
    </row>
    <row r="50" spans="2:6" x14ac:dyDescent="0.35">
      <c r="B50" s="15">
        <v>2</v>
      </c>
      <c r="C50" s="17"/>
      <c r="D50" s="2" t="s">
        <v>65</v>
      </c>
      <c r="E50" s="3"/>
      <c r="F50" s="4"/>
    </row>
    <row r="51" spans="2:6" x14ac:dyDescent="0.35">
      <c r="B51" s="15">
        <v>3</v>
      </c>
      <c r="C51" s="17"/>
      <c r="D51" s="2" t="s">
        <v>66</v>
      </c>
      <c r="E51" s="3"/>
      <c r="F51" s="4"/>
    </row>
    <row r="52" spans="2:6" x14ac:dyDescent="0.35">
      <c r="B52" s="16"/>
      <c r="C52" s="11" t="s">
        <v>111</v>
      </c>
      <c r="D52" s="12"/>
      <c r="E52" s="13"/>
      <c r="F52" s="4">
        <f>SUM(F49:F51)</f>
        <v>2</v>
      </c>
    </row>
    <row r="53" spans="2:6" x14ac:dyDescent="0.35">
      <c r="B53" s="1"/>
      <c r="C53" s="18"/>
      <c r="D53" s="18"/>
      <c r="E53" s="18"/>
      <c r="F53" s="1" t="s">
        <v>2</v>
      </c>
    </row>
    <row r="54" spans="2:6" x14ac:dyDescent="0.35">
      <c r="B54" s="14">
        <v>7</v>
      </c>
      <c r="C54" s="17" t="s">
        <v>67</v>
      </c>
      <c r="D54" s="2" t="s">
        <v>68</v>
      </c>
      <c r="E54" s="3" t="s">
        <v>69</v>
      </c>
      <c r="F54" s="4">
        <v>0</v>
      </c>
    </row>
    <row r="55" spans="2:6" x14ac:dyDescent="0.35">
      <c r="B55" s="15">
        <v>2</v>
      </c>
      <c r="C55" s="17"/>
      <c r="D55" s="2" t="s">
        <v>70</v>
      </c>
      <c r="E55" s="3" t="s">
        <v>71</v>
      </c>
      <c r="F55" s="4">
        <v>3</v>
      </c>
    </row>
    <row r="56" spans="2:6" x14ac:dyDescent="0.35">
      <c r="B56" s="15">
        <v>3</v>
      </c>
      <c r="C56" s="17"/>
      <c r="D56" s="2" t="s">
        <v>72</v>
      </c>
      <c r="E56" s="3" t="s">
        <v>152</v>
      </c>
      <c r="F56" s="4">
        <v>2</v>
      </c>
    </row>
    <row r="57" spans="2:6" x14ac:dyDescent="0.35">
      <c r="B57" s="15">
        <v>4</v>
      </c>
      <c r="C57" s="17"/>
      <c r="D57" s="2" t="s">
        <v>73</v>
      </c>
      <c r="E57" s="3" t="s">
        <v>74</v>
      </c>
      <c r="F57" s="4">
        <v>2</v>
      </c>
    </row>
    <row r="58" spans="2:6" x14ac:dyDescent="0.35">
      <c r="B58" s="15"/>
      <c r="C58" s="17"/>
      <c r="D58" s="2" t="s">
        <v>75</v>
      </c>
      <c r="E58" s="3" t="s">
        <v>153</v>
      </c>
      <c r="F58" s="4">
        <v>1</v>
      </c>
    </row>
    <row r="59" spans="2:6" x14ac:dyDescent="0.35">
      <c r="B59" s="15"/>
      <c r="C59" s="17"/>
      <c r="D59" s="2" t="s">
        <v>76</v>
      </c>
      <c r="E59" s="3" t="s">
        <v>154</v>
      </c>
      <c r="F59" s="4">
        <v>2</v>
      </c>
    </row>
    <row r="60" spans="2:6" x14ac:dyDescent="0.35">
      <c r="B60" s="15"/>
      <c r="C60" s="17"/>
      <c r="D60" s="2" t="s">
        <v>77</v>
      </c>
      <c r="E60" s="3"/>
      <c r="F60" s="4"/>
    </row>
    <row r="61" spans="2:6" x14ac:dyDescent="0.35">
      <c r="B61" s="16"/>
      <c r="C61" s="11" t="s">
        <v>111</v>
      </c>
      <c r="D61" s="12"/>
      <c r="E61" s="13"/>
      <c r="F61" s="4">
        <f>SUM(F54:F60)</f>
        <v>10</v>
      </c>
    </row>
    <row r="62" spans="2:6" x14ac:dyDescent="0.35">
      <c r="B62" s="1"/>
      <c r="C62" s="18"/>
      <c r="D62" s="18"/>
      <c r="E62" s="18"/>
      <c r="F62" s="1" t="s">
        <v>2</v>
      </c>
    </row>
    <row r="63" spans="2:6" x14ac:dyDescent="0.35">
      <c r="B63" s="14">
        <v>8</v>
      </c>
      <c r="C63" s="17" t="s">
        <v>78</v>
      </c>
      <c r="D63" s="2" t="s">
        <v>79</v>
      </c>
      <c r="E63" s="3" t="s">
        <v>80</v>
      </c>
      <c r="F63" s="4">
        <v>5</v>
      </c>
    </row>
    <row r="64" spans="2:6" x14ac:dyDescent="0.35">
      <c r="B64" s="15">
        <v>2</v>
      </c>
      <c r="C64" s="17"/>
      <c r="D64" s="2" t="s">
        <v>81</v>
      </c>
      <c r="E64" s="3" t="s">
        <v>82</v>
      </c>
      <c r="F64" s="4">
        <v>0</v>
      </c>
    </row>
    <row r="65" spans="2:6" x14ac:dyDescent="0.35">
      <c r="B65" s="15">
        <v>3</v>
      </c>
      <c r="C65" s="17"/>
      <c r="D65" s="2" t="s">
        <v>83</v>
      </c>
      <c r="E65" s="3" t="s">
        <v>155</v>
      </c>
      <c r="F65" s="4">
        <v>1</v>
      </c>
    </row>
    <row r="66" spans="2:6" x14ac:dyDescent="0.35">
      <c r="B66" s="15">
        <v>4</v>
      </c>
      <c r="C66" s="17"/>
      <c r="D66" s="2" t="s">
        <v>84</v>
      </c>
      <c r="E66" s="3" t="s">
        <v>85</v>
      </c>
      <c r="F66" s="4">
        <v>2</v>
      </c>
    </row>
    <row r="67" spans="2:6" x14ac:dyDescent="0.35">
      <c r="B67" s="15"/>
      <c r="C67" s="17"/>
      <c r="D67" s="2" t="s">
        <v>86</v>
      </c>
      <c r="E67" s="3" t="s">
        <v>156</v>
      </c>
      <c r="F67" s="4">
        <v>1</v>
      </c>
    </row>
    <row r="68" spans="2:6" x14ac:dyDescent="0.35">
      <c r="B68" s="15"/>
      <c r="C68" s="17"/>
      <c r="D68" s="2" t="s">
        <v>87</v>
      </c>
      <c r="E68" s="3" t="s">
        <v>157</v>
      </c>
      <c r="F68" s="4">
        <v>1</v>
      </c>
    </row>
    <row r="69" spans="2:6" x14ac:dyDescent="0.35">
      <c r="B69" s="15"/>
      <c r="C69" s="17"/>
      <c r="D69" s="2" t="s">
        <v>88</v>
      </c>
      <c r="E69" s="3"/>
      <c r="F69" s="4"/>
    </row>
    <row r="70" spans="2:6" x14ac:dyDescent="0.35">
      <c r="B70" s="16"/>
      <c r="C70" s="11" t="s">
        <v>111</v>
      </c>
      <c r="D70" s="12"/>
      <c r="E70" s="13"/>
      <c r="F70" s="4">
        <f>SUM(F63:F69)</f>
        <v>10</v>
      </c>
    </row>
    <row r="71" spans="2:6" x14ac:dyDescent="0.35">
      <c r="B71" s="1"/>
      <c r="C71" s="18"/>
      <c r="D71" s="18"/>
      <c r="E71" s="18"/>
      <c r="F71" s="1" t="s">
        <v>2</v>
      </c>
    </row>
    <row r="72" spans="2:6" ht="29" x14ac:dyDescent="0.35">
      <c r="B72" s="14">
        <v>9</v>
      </c>
      <c r="C72" s="17" t="s">
        <v>179</v>
      </c>
      <c r="D72" s="2" t="s">
        <v>90</v>
      </c>
      <c r="E72" s="3" t="s">
        <v>91</v>
      </c>
      <c r="F72" s="4">
        <v>2</v>
      </c>
    </row>
    <row r="73" spans="2:6" ht="29" x14ac:dyDescent="0.35">
      <c r="B73" s="15">
        <v>2</v>
      </c>
      <c r="C73" s="17"/>
      <c r="D73" s="2" t="s">
        <v>92</v>
      </c>
      <c r="E73" s="3" t="s">
        <v>93</v>
      </c>
      <c r="F73" s="4">
        <v>2</v>
      </c>
    </row>
    <row r="74" spans="2:6" ht="29" x14ac:dyDescent="0.35">
      <c r="B74" s="15">
        <v>3</v>
      </c>
      <c r="C74" s="17"/>
      <c r="D74" s="2" t="s">
        <v>94</v>
      </c>
      <c r="E74" s="3" t="s">
        <v>180</v>
      </c>
      <c r="F74" s="4">
        <v>2</v>
      </c>
    </row>
    <row r="75" spans="2:6" x14ac:dyDescent="0.35">
      <c r="B75" s="15">
        <v>4</v>
      </c>
      <c r="C75" s="17"/>
      <c r="D75" s="2" t="s">
        <v>96</v>
      </c>
      <c r="E75" s="3" t="s">
        <v>97</v>
      </c>
      <c r="F75" s="4">
        <v>2</v>
      </c>
    </row>
    <row r="76" spans="2:6" x14ac:dyDescent="0.35">
      <c r="B76" s="15"/>
      <c r="C76" s="17"/>
      <c r="D76" s="2" t="s">
        <v>98</v>
      </c>
      <c r="E76" s="3" t="s">
        <v>99</v>
      </c>
      <c r="F76" s="4">
        <v>2</v>
      </c>
    </row>
    <row r="77" spans="2:6" x14ac:dyDescent="0.35">
      <c r="B77" s="15"/>
      <c r="C77" s="17"/>
      <c r="D77" s="2" t="s">
        <v>100</v>
      </c>
      <c r="E77" s="3"/>
      <c r="F77" s="4"/>
    </row>
    <row r="78" spans="2:6" x14ac:dyDescent="0.35">
      <c r="B78" s="15"/>
      <c r="C78" s="17"/>
      <c r="D78" s="2" t="s">
        <v>101</v>
      </c>
      <c r="E78" s="3"/>
      <c r="F78" s="4"/>
    </row>
    <row r="79" spans="2:6" x14ac:dyDescent="0.35">
      <c r="B79" s="16"/>
      <c r="C79" s="11" t="s">
        <v>111</v>
      </c>
      <c r="D79" s="12"/>
      <c r="E79" s="13"/>
      <c r="F79" s="4">
        <f>SUM(F72:F78)</f>
        <v>10</v>
      </c>
    </row>
    <row r="80" spans="2:6" x14ac:dyDescent="0.35">
      <c r="B80" s="1"/>
      <c r="C80" s="18"/>
      <c r="D80" s="18"/>
      <c r="E80" s="18"/>
      <c r="F80" s="1" t="s">
        <v>2</v>
      </c>
    </row>
    <row r="81" spans="2:6" x14ac:dyDescent="0.35">
      <c r="B81" s="14">
        <v>10</v>
      </c>
      <c r="C81" s="17" t="s">
        <v>102</v>
      </c>
      <c r="D81" s="2" t="s">
        <v>103</v>
      </c>
      <c r="E81" s="3" t="s">
        <v>104</v>
      </c>
      <c r="F81" s="4">
        <v>2</v>
      </c>
    </row>
    <row r="82" spans="2:6" x14ac:dyDescent="0.35">
      <c r="B82" s="15">
        <v>2</v>
      </c>
      <c r="C82" s="17"/>
      <c r="D82" s="2" t="s">
        <v>105</v>
      </c>
      <c r="E82" s="3" t="s">
        <v>158</v>
      </c>
      <c r="F82" s="4">
        <v>2</v>
      </c>
    </row>
    <row r="83" spans="2:6" x14ac:dyDescent="0.35">
      <c r="B83" s="15">
        <v>3</v>
      </c>
      <c r="C83" s="17"/>
      <c r="D83" s="2" t="s">
        <v>106</v>
      </c>
      <c r="E83" s="3" t="s">
        <v>107</v>
      </c>
      <c r="F83" s="4">
        <v>2</v>
      </c>
    </row>
    <row r="84" spans="2:6" x14ac:dyDescent="0.35">
      <c r="B84" s="15">
        <v>4</v>
      </c>
      <c r="C84" s="17"/>
      <c r="D84" s="2" t="s">
        <v>108</v>
      </c>
      <c r="E84" s="3" t="s">
        <v>159</v>
      </c>
      <c r="F84" s="4">
        <v>2</v>
      </c>
    </row>
    <row r="85" spans="2:6" x14ac:dyDescent="0.35">
      <c r="B85" s="15"/>
      <c r="C85" s="17"/>
      <c r="D85" s="2" t="s">
        <v>109</v>
      </c>
      <c r="E85" s="3" t="s">
        <v>110</v>
      </c>
      <c r="F85" s="4">
        <v>2</v>
      </c>
    </row>
    <row r="86" spans="2:6" x14ac:dyDescent="0.35">
      <c r="B86" s="16"/>
      <c r="C86" s="11" t="s">
        <v>111</v>
      </c>
      <c r="D86" s="12"/>
      <c r="E86" s="13"/>
      <c r="F86" s="4">
        <f>SUM(F81:F85)</f>
        <v>10</v>
      </c>
    </row>
    <row r="87" spans="2:6" x14ac:dyDescent="0.35">
      <c r="B87" s="1"/>
      <c r="C87" s="18"/>
      <c r="D87" s="18"/>
      <c r="E87" s="18"/>
      <c r="F87" s="1" t="s">
        <v>2</v>
      </c>
    </row>
    <row r="88" spans="2:6" ht="29" x14ac:dyDescent="0.35">
      <c r="B88" s="14">
        <v>11</v>
      </c>
      <c r="C88" s="17" t="s">
        <v>160</v>
      </c>
      <c r="D88" s="2" t="s">
        <v>139</v>
      </c>
      <c r="E88" s="5" t="s">
        <v>49</v>
      </c>
      <c r="F88" s="4">
        <v>100</v>
      </c>
    </row>
    <row r="89" spans="2:6" ht="87" x14ac:dyDescent="0.35">
      <c r="B89" s="15">
        <v>2</v>
      </c>
      <c r="C89" s="17"/>
      <c r="D89" s="2" t="s">
        <v>140</v>
      </c>
      <c r="E89" s="5" t="s">
        <v>176</v>
      </c>
      <c r="F89" s="4" t="s">
        <v>52</v>
      </c>
    </row>
    <row r="90" spans="2:6" ht="87" x14ac:dyDescent="0.35">
      <c r="B90" s="15">
        <v>3</v>
      </c>
      <c r="C90" s="17"/>
      <c r="D90" s="2" t="s">
        <v>141</v>
      </c>
      <c r="E90" s="5" t="s">
        <v>177</v>
      </c>
      <c r="F90" s="4" t="s">
        <v>52</v>
      </c>
    </row>
    <row r="91" spans="2:6" ht="87" x14ac:dyDescent="0.35">
      <c r="B91" s="15">
        <v>4</v>
      </c>
      <c r="C91" s="17"/>
      <c r="D91" s="2" t="s">
        <v>142</v>
      </c>
      <c r="E91" s="5" t="s">
        <v>178</v>
      </c>
      <c r="F91" s="4" t="s">
        <v>52</v>
      </c>
    </row>
    <row r="92" spans="2:6" ht="29" x14ac:dyDescent="0.35">
      <c r="B92" s="15"/>
      <c r="C92" s="17"/>
      <c r="D92" s="2" t="s">
        <v>143</v>
      </c>
      <c r="E92" s="5" t="s">
        <v>58</v>
      </c>
      <c r="F92" s="4" t="s">
        <v>59</v>
      </c>
    </row>
    <row r="93" spans="2:6" x14ac:dyDescent="0.35">
      <c r="B93" s="15"/>
      <c r="C93" s="17"/>
      <c r="D93" s="2" t="s">
        <v>144</v>
      </c>
      <c r="E93" s="5"/>
      <c r="F93" s="4"/>
    </row>
    <row r="94" spans="2:6" x14ac:dyDescent="0.35">
      <c r="B94" s="15"/>
      <c r="C94" s="17"/>
      <c r="D94" s="2" t="s">
        <v>145</v>
      </c>
      <c r="E94" s="5"/>
      <c r="F94" s="4"/>
    </row>
    <row r="95" spans="2:6" x14ac:dyDescent="0.35">
      <c r="B95" s="16"/>
      <c r="C95" s="11" t="s">
        <v>111</v>
      </c>
      <c r="D95" s="12"/>
      <c r="E95" s="13"/>
      <c r="F95" s="4">
        <f>SUM(F88:F94)</f>
        <v>100</v>
      </c>
    </row>
  </sheetData>
  <mergeCells count="45">
    <mergeCell ref="B88:B95"/>
    <mergeCell ref="C88:C94"/>
    <mergeCell ref="C95:E95"/>
    <mergeCell ref="C87:E87"/>
    <mergeCell ref="B2:F2"/>
    <mergeCell ref="C3:E3"/>
    <mergeCell ref="C4:C10"/>
    <mergeCell ref="C12:E12"/>
    <mergeCell ref="C13:C19"/>
    <mergeCell ref="B4:B11"/>
    <mergeCell ref="C11:E11"/>
    <mergeCell ref="C81:C85"/>
    <mergeCell ref="C53:E53"/>
    <mergeCell ref="C54:C60"/>
    <mergeCell ref="C62:E62"/>
    <mergeCell ref="C63:C69"/>
    <mergeCell ref="C20:E20"/>
    <mergeCell ref="B13:B20"/>
    <mergeCell ref="C29:E29"/>
    <mergeCell ref="B22:B29"/>
    <mergeCell ref="C71:E71"/>
    <mergeCell ref="C39:E39"/>
    <mergeCell ref="C40:C46"/>
    <mergeCell ref="C48:E48"/>
    <mergeCell ref="C49:C51"/>
    <mergeCell ref="C21:E21"/>
    <mergeCell ref="C22:C28"/>
    <mergeCell ref="C30:E30"/>
    <mergeCell ref="C31:C37"/>
    <mergeCell ref="C86:E86"/>
    <mergeCell ref="C61:E61"/>
    <mergeCell ref="B31:B38"/>
    <mergeCell ref="B40:B47"/>
    <mergeCell ref="B49:B52"/>
    <mergeCell ref="B54:B61"/>
    <mergeCell ref="B63:B70"/>
    <mergeCell ref="B72:B79"/>
    <mergeCell ref="B81:B86"/>
    <mergeCell ref="C38:E38"/>
    <mergeCell ref="C47:E47"/>
    <mergeCell ref="C52:E52"/>
    <mergeCell ref="C70:E70"/>
    <mergeCell ref="C79:E79"/>
    <mergeCell ref="C72:C78"/>
    <mergeCell ref="C80:E80"/>
  </mergeCells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Technical_countermeasures</vt:lpstr>
      <vt:lpstr>Org_countermeasures</vt:lpstr>
      <vt:lpstr>Questionary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Sukhikh</dc:creator>
  <cp:lastModifiedBy>S</cp:lastModifiedBy>
  <dcterms:created xsi:type="dcterms:W3CDTF">2015-06-05T18:17:20Z</dcterms:created>
  <dcterms:modified xsi:type="dcterms:W3CDTF">2026-01-06T17:59:49Z</dcterms:modified>
</cp:coreProperties>
</file>